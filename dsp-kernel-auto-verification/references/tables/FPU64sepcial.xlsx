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<sst xmlns="http://schemas.openxmlformats.org/spreadsheetml/2006/main" count="62" uniqueCount="62">
  <si>
    <t/>
  </si>
  <si>
    <t>指令</t>
  </si>
  <si>
    <t>操作数1</t>
  </si>
  <si>
    <t>操作数2</t>
  </si>
  <si>
    <t>con</t>
  </si>
  <si>
    <t>QX结果</t>
  </si>
  <si>
    <t>LUF</t>
  </si>
  <si>
    <t>LVF</t>
  </si>
  <si>
    <t>TI结果</t>
  </si>
  <si>
    <t>结果表示</t>
  </si>
  <si>
    <t>版本：P659</t>
  </si>
  <si>
    <t>FDMUL</t>
  </si>
  <si>
    <t>+0.0</t>
  </si>
  <si>
    <t>0x0000000000000000</t>
  </si>
  <si>
    <t>-0.0</t>
  </si>
  <si>
    <t>0x8000000000000000</t>
  </si>
  <si>
    <t>+inf</t>
  </si>
  <si>
    <t>0x7ff0000000000000</t>
  </si>
  <si>
    <t>-inf</t>
  </si>
  <si>
    <t>0xfff0000000000000</t>
  </si>
  <si>
    <t>-NAN</t>
  </si>
  <si>
    <t>0xfff8000000000000</t>
  </si>
  <si>
    <t>非规格</t>
  </si>
  <si>
    <t>0x8008000000000000</t>
  </si>
  <si>
    <t>NAN</t>
  </si>
  <si>
    <t>0x7ff8000000000000</t>
  </si>
  <si>
    <t>FDMAC</t>
  </si>
  <si>
    <t>FDADD</t>
  </si>
  <si>
    <t>FDSUB</t>
  </si>
  <si>
    <t>ZF</t>
  </si>
  <si>
    <t>NF</t>
  </si>
  <si>
    <t>FDABS</t>
  </si>
  <si>
    <t>0x0008000000000000</t>
  </si>
  <si>
    <t>以下皆对应TI CMPF64 指令</t>
  </si>
  <si>
    <t>CMPF64</t>
  </si>
  <si>
    <t>FDEQ</t>
  </si>
  <si>
    <t>FDGT</t>
  </si>
  <si>
    <t>FDLT</t>
  </si>
  <si>
    <t>FDGE</t>
  </si>
  <si>
    <t>FDLE</t>
  </si>
  <si>
    <t>以上皆对应Ti CMPF64</t>
  </si>
  <si>
    <t>FDMAX</t>
  </si>
  <si>
    <t>FDMIN</t>
  </si>
  <si>
    <t>无标志位</t>
  </si>
  <si>
    <t>FCVTDF</t>
  </si>
  <si>
    <t>0x00000000</t>
  </si>
  <si>
    <t>0x7fffffff</t>
  </si>
  <si>
    <t>0x80000000</t>
  </si>
  <si>
    <t>FCVTDU</t>
  </si>
  <si>
    <t>0xffffffff</t>
  </si>
  <si>
    <t>FCVTDS</t>
  </si>
  <si>
    <t>0x7f800000</t>
  </si>
  <si>
    <t>0xff800000</t>
  </si>
  <si>
    <t>FCVTSD</t>
  </si>
  <si>
    <t>0xffc00000</t>
  </si>
  <si>
    <t>0x80008000</t>
  </si>
  <si>
    <t>0x7fc00000</t>
  </si>
  <si>
    <t>TMU新增</t>
  </si>
  <si>
    <t>EXPPUF32</t>
  </si>
  <si>
    <t>0x3f800000</t>
  </si>
  <si>
    <t>LOGPUF32</t>
  </si>
  <si>
    <t>0xbfc00000</t>
  </si>
</sst>
</file>

<file path=xl/styles.xml><?xml version="1.0" encoding="utf-8"?>
<styleSheet xmlns="http://schemas.openxmlformats.org/spreadsheetml/2006/main">
  <numFmts count="1">
    <numFmt numFmtId="300" formatCode="@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Times New Roman"/>
    </font>
    <font/>
    <font/>
    <font>
      <color rgb="FFDE322C"/>
    </font>
    <font/>
  </fonts>
  <fills count="11">
    <fill>
      <patternFill patternType="none"/>
    </fill>
    <fill>
      <patternFill patternType="gray125"/>
    </fill>
    <fill>
      <patternFill patternType="solid">
        <fgColor rgb="FF8CDDFA"/>
      </patternFill>
    </fill>
    <fill/>
    <fill/>
    <fill/>
    <fill>
      <patternFill patternType="solid">
        <fgColor rgb="FF000000"/>
      </patternFill>
    </fill>
    <fill>
      <patternFill patternType="solid">
        <fgColor rgb="FF99BEFF"/>
      </patternFill>
    </fill>
    <fill>
      <patternFill>
        <fgColor rgb="FFFFE9E8"/>
        <bgColor rgb="FFFFE9E8"/>
      </patternFill>
    </fill>
    <fill>
      <patternFill patternType="solid">
        <fgColor rgb="FF2972F4"/>
      </patternFill>
    </fill>
    <fill>
      <patternFill patternType="solid">
        <fgColor rgb="FF99BEFF"/>
      </patternFill>
    </fill>
  </fills>
  <borders count="35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</border>
    <border/>
    <border/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/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 diagonalUp="1" diagonalDown="1">
      <left/>
      <top/>
      <bottom style="thin">
        <color rgb="FF000000"/>
      </bottom>
      <diagonal/>
    </border>
    <border>
      <top/>
      <bottom style="thin">
        <color rgb="FF000000"/>
      </bottom>
    </border>
    <border>
      <right/>
      <top/>
      <bottom style="thin">
        <color rgb="FF000000"/>
      </bottom>
    </border>
    <border diagonalUp="1" diagonalDown="1">
      <left/>
      <right/>
      <top/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>
    <xf fontId="0" fillId="0" borderId="0" xfId="0" applyNumberFormat="0" applyFont="0" applyFill="0" applyBorder="0" applyAlignment="0">
      <alignment vertical="center"/>
    </xf>
  </cellStyleXfs>
  <cellXfs count="1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numFmtId="49" fontId="3" fillId="0" borderId="0" xfId="0">
      <alignment horizontal="center" vertical="center"/>
    </xf>
    <xf numFmtId="49" fontId="3" fillId="0" borderId="1" xfId="0">
      <alignment horizontal="center" vertical="center"/>
    </xf>
    <xf numFmtId="49" fontId="0" fillId="0" borderId="0" xfId="0">
      <alignment horizontal="center" vertical="center"/>
    </xf>
    <xf numFmtId="0" fontId="0" fillId="0" borderId="0" xfId="0">
      <alignment horizontal="center" vertical="center"/>
    </xf>
    <xf fontId="0" fillId="0" borderId="0" xfId="0">
      <alignment horizontal="center" vertical="center"/>
    </xf>
    <xf fontId="0" fillId="2" borderId="0" xfId="0">
      <alignment vertical="center"/>
    </xf>
    <xf fontId="3" fillId="0" borderId="2" xfId="0">
      <alignment horizontal="center" vertical="center"/>
    </xf>
    <xf numFmtId="49" fontId="3" fillId="0" borderId="3" xfId="0">
      <alignment horizontal="center" vertical="center"/>
    </xf>
    <xf fontId="0" fillId="0" borderId="3" xfId="0">
      <alignment horizontal="center" vertical="center"/>
    </xf>
    <xf fontId="3" fillId="0" borderId="3" xfId="0">
      <alignment horizontal="center" vertical="center"/>
    </xf>
    <xf numFmtId="0" fontId="3" fillId="0" borderId="3" xfId="0">
      <alignment horizontal="center" vertical="center"/>
    </xf>
    <xf numFmtId="0" fontId="0" fillId="0" borderId="3" xfId="0">
      <alignment horizontal="center" vertical="center"/>
    </xf>
    <xf numFmtId="0" fontId="4" fillId="0" borderId="3" xfId="0">
      <alignment horizontal="center" vertical="center"/>
    </xf>
    <xf numFmtId="49" fontId="0" fillId="0" borderId="3" xfId="0">
      <alignment horizontal="center" vertical="center"/>
    </xf>
    <xf numFmtId="0" fontId="0" fillId="0" borderId="4" xfId="0">
      <alignment horizontal="center" vertical="center"/>
    </xf>
    <xf numFmtId="0" fontId="0" fillId="0" borderId="0" xfId="0">
      <alignment vertical="center"/>
    </xf>
    <xf fontId="3" fillId="0" borderId="5" xfId="0">
      <alignment vertical="center"/>
    </xf>
    <xf numFmtId="49" fontId="3" fillId="0" borderId="6" xfId="0">
      <alignment horizontal="center" vertical="center"/>
    </xf>
    <xf fontId="3" fillId="0" borderId="6" xfId="0">
      <alignment horizontal="center" vertical="center"/>
    </xf>
    <xf numFmtId="0" fontId="3" fillId="0" borderId="6" xfId="0">
      <alignment horizontal="center" vertical="center"/>
    </xf>
    <xf numFmtId="0" fontId="0" fillId="0" borderId="6" xfId="0">
      <alignment horizontal="center" vertical="center"/>
    </xf>
    <xf numFmtId="0" fontId="0" fillId="0" borderId="7" xfId="0">
      <alignment horizontal="center" vertical="center"/>
    </xf>
    <xf fontId="0" fillId="0" borderId="8" xfId="0">
      <alignment vertical="center"/>
    </xf>
    <xf numFmtId="49" fontId="3" fillId="0" borderId="9" xfId="0">
      <alignment horizontal="center" vertical="center"/>
    </xf>
    <xf fontId="3" fillId="0" borderId="9" xfId="0">
      <alignment horizontal="center" vertical="center"/>
    </xf>
    <xf numFmtId="0" fontId="3" fillId="0" borderId="10" xfId="0">
      <alignment horizontal="center" vertical="center"/>
    </xf>
    <xf numFmtId="0" fontId="3" fillId="0" borderId="11" xfId="0">
      <alignment horizontal="center" vertical="center"/>
    </xf>
    <xf numFmtId="49" fontId="0" fillId="0" borderId="6" xfId="0">
      <alignment horizontal="center" vertical="center"/>
    </xf>
    <xf fontId="3" fillId="0" borderId="5" xfId="0">
      <alignment horizontal="center" vertical="center"/>
    </xf>
    <xf numFmtId="0" fontId="0" fillId="0" borderId="1" xfId="0">
      <alignment horizontal="center" vertical="center"/>
    </xf>
    <xf numFmtId="49" fontId="0" fillId="0" borderId="1" xfId="0">
      <alignment horizontal="center" vertical="center"/>
    </xf>
    <xf numFmtId="0" fontId="0" fillId="0" borderId="12" xfId="0">
      <alignment horizontal="center" vertical="center"/>
    </xf>
    <xf fontId="0" fillId="0" borderId="7" xfId="0">
      <alignment horizontal="center" vertical="center"/>
    </xf>
    <xf numFmtId="49" fontId="3" fillId="0" borderId="11" xfId="0">
      <alignment horizontal="center" vertical="center"/>
    </xf>
    <xf fontId="0" fillId="0" borderId="13" xfId="0">
      <alignment vertical="center"/>
    </xf>
    <xf numFmtId="49" fontId="3" fillId="0" borderId="14" xfId="0">
      <alignment horizontal="center" vertical="center"/>
    </xf>
    <xf fontId="0" fillId="0" borderId="12" xfId="0">
      <alignment horizontal="center" vertical="center"/>
    </xf>
    <xf numFmtId="0" fontId="3" fillId="3" borderId="3" xfId="0">
      <alignment horizontal="center" vertical="center"/>
    </xf>
    <xf numFmtId="0" fontId="3" fillId="4" borderId="3" xfId="0">
      <alignment horizontal="center" vertical="center"/>
    </xf>
    <xf numFmtId="0" fontId="3" fillId="3" borderId="0" xfId="0">
      <alignment horizontal="center" vertical="center"/>
    </xf>
    <xf numFmtId="0" fontId="3" fillId="4" borderId="0" xfId="0">
      <alignment horizontal="center" vertical="center"/>
    </xf>
    <xf numFmtId="0" fontId="3" fillId="3" borderId="6" xfId="0">
      <alignment horizontal="center" vertical="center"/>
    </xf>
    <xf numFmtId="0" fontId="3" fillId="4" borderId="6" xfId="0">
      <alignment horizontal="center" vertical="center"/>
    </xf>
    <xf fontId="3" fillId="0" borderId="2" xfId="0">
      <alignment horizontal="center" vertical="center" textRotation="0" indent="0" justifyLastLine="0" shrinkToFit="0"/>
    </xf>
    <xf numFmtId="0" fontId="3" fillId="5" borderId="3" xfId="0">
      <alignment horizontal="center" vertical="center"/>
    </xf>
    <xf fontId="0" fillId="0" borderId="5" xfId="0">
      <alignment vertical="center"/>
    </xf>
    <xf numFmtId="0" fontId="3" fillId="0" borderId="0" xfId="0">
      <alignment horizontal="center" vertical="center"/>
    </xf>
    <xf numFmtId="0" fontId="3" fillId="5" borderId="0" xfId="0">
      <alignment horizontal="center" vertical="center"/>
    </xf>
    <xf fontId="0" fillId="0" borderId="0" xfId="0">
      <alignment horizontal="right" vertical="center"/>
    </xf>
    <xf fontId="3" fillId="0" borderId="5" xfId="0">
      <alignment horizontal="center" vertical="center" textRotation="0" indent="0" justifyLastLine="0" shrinkToFit="0"/>
    </xf>
    <xf fontId="3" fillId="0" borderId="5" xfId="0">
      <alignment vertical="center" textRotation="0" indent="0" justifyLastLine="0" shrinkToFit="0"/>
    </xf>
    <xf numFmtId="0" fontId="5" fillId="0" borderId="0" xfId="0">
      <alignment horizontal="center" vertical="center"/>
    </xf>
    <xf fontId="0" fillId="0" borderId="6" xfId="0">
      <alignment horizontal="center" vertical="center"/>
    </xf>
    <xf fontId="3" fillId="6" borderId="5" xfId="0">
      <alignment horizontal="center" vertical="center"/>
    </xf>
    <xf fontId="0" fillId="6" borderId="6" xfId="0">
      <alignment horizontal="center" vertical="center"/>
    </xf>
    <xf numFmtId="49" fontId="3" fillId="6" borderId="0" xfId="0">
      <alignment horizontal="center" vertical="center"/>
    </xf>
    <xf fontId="3" fillId="6" borderId="6" xfId="0">
      <alignment horizontal="center" vertical="center"/>
    </xf>
    <xf numFmtId="49" fontId="3" fillId="6" borderId="6" xfId="0">
      <alignment horizontal="center" vertical="center"/>
    </xf>
    <xf numFmtId="49" fontId="0" fillId="6" borderId="0" xfId="0">
      <alignment horizontal="center" vertical="center"/>
    </xf>
    <xf numFmtId="0" fontId="0" fillId="6" borderId="6" xfId="0">
      <alignment horizontal="center" vertical="center"/>
    </xf>
    <xf numFmtId="49" fontId="0" fillId="7" borderId="3" xfId="0">
      <alignment horizontal="center" vertical="center"/>
    </xf>
    <xf fontId="0" fillId="7" borderId="4" xfId="0">
      <alignment horizontal="center" vertical="center"/>
    </xf>
    <xf fontId="6" fillId="8" borderId="0" xfId="0">
      <alignment vertical="center"/>
    </xf>
    <xf fontId="3" fillId="9" borderId="5" xfId="0">
      <alignment horizontal="center" vertical="center"/>
    </xf>
    <xf fontId="3" fillId="10" borderId="15" xfId="0">
      <alignment vertical="center"/>
    </xf>
    <xf numFmtId="49" fontId="0" fillId="2" borderId="0" xfId="0">
      <alignment horizontal="center" vertical="center"/>
    </xf>
    <xf numFmtId="0" fontId="3" fillId="0" borderId="9" xfId="0">
      <alignment horizontal="center" vertical="center"/>
    </xf>
    <xf fontId="0" fillId="0" borderId="16" xfId="0">
      <alignment vertical="center"/>
    </xf>
    <xf numFmtId="0" fontId="3" fillId="0" borderId="17" xfId="0">
      <alignment horizontal="center" vertical="center"/>
    </xf>
    <xf numFmtId="49" fontId="3" fillId="0" borderId="17" xfId="0">
      <alignment horizontal="center" vertical="center"/>
    </xf>
    <xf numFmtId="49" fontId="3" fillId="0" borderId="18" xfId="0">
      <alignment horizontal="center" vertical="center"/>
    </xf>
    <xf fontId="3" fillId="0" borderId="19" xfId="0">
      <alignment horizontal="center" vertical="center" textRotation="0" indent="0" justifyLastLine="0" shrinkToFit="0"/>
    </xf>
    <xf numFmtId="0" fontId="3" fillId="0" borderId="0" xfId="0">
      <alignment horizontal="center" vertical="center" textRotation="0" indent="0" justifyLastLine="0" shrinkToFit="0"/>
    </xf>
    <xf numFmtId="49" fontId="0" fillId="0" borderId="20" xfId="0">
      <alignment horizontal="center" vertical="center"/>
    </xf>
    <xf numFmtId="0" fontId="0" fillId="0" borderId="21" xfId="0">
      <alignment horizontal="center" vertical="center"/>
    </xf>
    <xf fontId="0" fillId="0" borderId="19" xfId="0">
      <alignment vertical="center"/>
    </xf>
    <xf numFmtId="49" fontId="0" fillId="0" borderId="9" xfId="0">
      <alignment horizontal="center" vertical="center"/>
    </xf>
    <xf numFmtId="0" fontId="0" fillId="0" borderId="22" xfId="0">
      <alignment horizontal="center" vertical="center"/>
    </xf>
    <xf numFmtId="49" fontId="0" fillId="0" borderId="11" xfId="0">
      <alignment horizontal="center" vertical="center"/>
    </xf>
    <xf numFmtId="0" fontId="0" fillId="0" borderId="23" xfId="0">
      <alignment horizontal="center" vertical="center"/>
    </xf>
    <xf numFmtId="0" fontId="3" fillId="0" borderId="1" xfId="0">
      <alignment horizontal="center" vertical="center" textRotation="0" indent="0" justifyLastLine="0" shrinkToFit="0"/>
    </xf>
    <xf numFmtId="49" fontId="0" fillId="0" borderId="14" xfId="0">
      <alignment horizontal="center" vertical="center"/>
    </xf>
    <xf numFmtId="0" fontId="0" fillId="0" borderId="24" xfId="0">
      <alignment horizontal="center" vertical="center"/>
    </xf>
    <xf numFmtId="49" fontId="0" fillId="0" borderId="17" xfId="0">
      <alignment horizontal="center" vertical="center"/>
    </xf>
    <xf numFmtId="0" fontId="0" fillId="0" borderId="25" xfId="0">
      <alignment horizontal="center" vertical="center"/>
    </xf>
    <xf fontId="5" fillId="9" borderId="26" xfId="0">
      <alignment horizontal="center" vertical="center"/>
    </xf>
    <xf fontId="0" fillId="0" borderId="27" xfId="0">
      <alignment vertical="center"/>
    </xf>
    <xf fontId="0" fillId="0" borderId="28" xfId="0">
      <alignment vertical="center"/>
    </xf>
    <xf fontId="5" fillId="6" borderId="29" xfId="0">
      <alignment vertical="center"/>
    </xf>
    <xf numFmtId="49" fontId="5" fillId="6" borderId="29" xfId="0">
      <alignment vertical="center"/>
    </xf>
    <xf fontId="7" fillId="6" borderId="29" xfId="0">
      <alignment vertical="center"/>
    </xf>
    <xf numFmtId="49" fontId="0" fillId="7" borderId="18" xfId="0">
      <alignment horizontal="center" vertical="center"/>
    </xf>
    <xf fontId="0" fillId="7" borderId="30" xfId="0">
      <alignment horizontal="center" vertical="center"/>
    </xf>
    <xf fontId="3" fillId="0" borderId="0" xfId="0">
      <alignment horizontal="center" vertical="center" textRotation="0" indent="0" justifyLastLine="0" shrinkToFit="0"/>
    </xf>
    <xf numFmtId="49" fontId="0" fillId="0" borderId="10" xfId="0">
      <alignment horizontal="center" vertical="center"/>
    </xf>
    <xf numFmtId="0" fontId="0" fillId="0" borderId="31" xfId="0">
      <alignment horizontal="center" vertical="center"/>
    </xf>
    <xf fontId="3" fillId="0" borderId="1" xfId="0">
      <alignment horizontal="center" vertical="center" textRotation="0" indent="0" justifyLastLine="0" shrinkToFit="0"/>
    </xf>
    <xf numFmtId="0" fontId="3" fillId="0" borderId="1" xfId="0">
      <alignment horizontal="center" vertical="center"/>
    </xf>
    <xf numFmtId="0" fontId="0" fillId="0" borderId="32" xfId="0">
      <alignment horizontal="center" vertical="center"/>
    </xf>
    <xf fontId="0" fillId="0" borderId="1" xfId="0">
      <alignment horizontal="center" vertical="center"/>
    </xf>
    <xf fontId="0" fillId="0" borderId="33" xfId="0">
      <alignment vertical="center"/>
    </xf>
    <xf numFmtId="49" fontId="3" fillId="0" borderId="0" xfId="0">
      <alignment horizontal="center" vertical="center" textRotation="0" indent="0" justifyLastLine="0" shrinkToFit="0"/>
    </xf>
    <xf fontId="0" fillId="0" borderId="21" xfId="0">
      <alignment horizontal="center" vertical="center"/>
    </xf>
    <xf fontId="0" fillId="0" borderId="22" xfId="0">
      <alignment horizontal="center" vertical="center"/>
    </xf>
    <xf fontId="0" fillId="0" borderId="23" xfId="0">
      <alignment horizontal="center" vertical="center"/>
    </xf>
    <xf numFmtId="49" fontId="3" fillId="0" borderId="1" xfId="0">
      <alignment horizontal="center" vertical="center" textRotation="0" indent="0" justifyLastLine="0" shrinkToFit="0"/>
    </xf>
    <xf fontId="0" fillId="0" borderId="25" xfId="0">
      <alignment horizontal="center" vertical="center"/>
    </xf>
    <xf fontId="5" fillId="7" borderId="29" xfId="0">
      <alignment horizontal="center" vertical="center"/>
    </xf>
    <xf fontId="0" fillId="6" borderId="30" xfId="0">
      <alignment horizontal="center" vertical="center"/>
    </xf>
    <xf fontId="0" fillId="0" borderId="0" xfId="0">
      <alignment horizontal="left" vertical="center"/>
    </xf>
    <xf numFmtId="0" fontId="0" fillId="0" borderId="34" xfId="0">
      <alignment horizontal="center" vertical="center"/>
    </xf>
    <xf numFmtId="300" fontId="0" fillId="0" borderId="0" xfId="0">
      <alignment horizontal="center" vertical="center"/>
    </xf>
  </cellXfs>
  <cellStyles>
    <cellStyle name="常规" xfId="0" builtinId="0"/>
  </cellStyles>
  <dxfs count="1">
    <dxf>
      <font>
        <color rgb="FFDE322C"/>
      </font>
      <fill>
        <patternFill>
          <fgColor rgb="FFFFE9E8"/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12</xdr:col>
      <xdr:colOff>19050</xdr:colOff>
      <xdr:row>164</xdr:row>
      <xdr:rowOff>28575</xdr:rowOff>
    </xdr:from>
    <xdr:ext cx="3101856" cy="59739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12</xdr:col>
      <xdr:colOff>0</xdr:colOff>
      <xdr:row>213</xdr:row>
      <xdr:rowOff>0</xdr:rowOff>
    </xdr:from>
    <xdr:ext cx="3101856" cy="597395"/>
    <xdr:pic>
      <xdr:nvPicPr>
        <xdr:cNvPr id="2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12</xdr:col>
      <xdr:colOff>0</xdr:colOff>
      <xdr:row>262</xdr:row>
      <xdr:rowOff>0</xdr:rowOff>
    </xdr:from>
    <xdr:ext cx="3101856" cy="597395"/>
    <xdr:pic>
      <xdr:nvPicPr>
        <xdr:cNvPr id="3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12</xdr:col>
      <xdr:colOff>0</xdr:colOff>
      <xdr:row>311</xdr:row>
      <xdr:rowOff>0</xdr:rowOff>
    </xdr:from>
    <xdr:ext cx="3101856" cy="597395"/>
    <xdr:pic>
      <xdr:nvPicPr>
        <xdr:cNvPr id="4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oneCellAnchor>
  <xdr:oneCellAnchor>
    <xdr:from>
      <xdr:col>12</xdr:col>
      <xdr:colOff>0</xdr:colOff>
      <xdr:row>360</xdr:row>
      <xdr:rowOff>0</xdr:rowOff>
    </xdr:from>
    <xdr:ext cx="3101856" cy="597395"/>
    <xdr:pic>
      <xdr:nvPicPr>
        <xdr:cNvPr id="5" name=""/>
        <xdr:cNvPicPr/>
      </xdr:nvPicPr>
      <xdr:blipFill>
        <a:blip r:embed="rId0" r:link="rId0"/>
        <a:stretch>
          <a:fillRect/>
        </a:stretch>
      </xdr:blipFill>
      <xdr:spPr>
        <a:xfrm flipH="0" flipV="0"/>
        <a:prstGeom prst="rect"/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K542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13.6367" style="9"/>
    <col min="2" max="3" width="18.6758" style="116" customWidth="1"/>
    <col min="4" max="4" width="14.707" style="9" customWidth="1"/>
    <col min="5" max="5" width="24.4258" style="116" customWidth="1"/>
    <col min="6" max="7" width="13.6367" style="116"/>
    <col min="8" max="8" width="28.9062" style="116" customWidth="1"/>
    <col min="9" max="9" width="19.3164" style="8" customWidth="1"/>
    <col min="10" max="10" width="13.6367" style="116"/>
    <col min="11" max="11" width="13.6367" style="9"/>
    <col min="13" max="13" width="13.7109" customWidth="1"/>
    <col min="14" max="14" width="20.7188" customWidth="1"/>
  </cols>
  <sheetData>
    <row r="1" spans="1:31">
      <c r="A1" s="4" t="s">
        <v>1</v>
      </c>
      <c r="B1" s="5" t="s">
        <v>2</v>
      </c>
      <c r="C1" s="6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7" t="s">
        <v>8</v>
      </c>
      <c r="I1" s="8" t="s">
        <v>9</v>
      </c>
      <c r="J1" s="7" t="s">
        <v>6</v>
      </c>
      <c r="K1" s="9" t="s">
        <v>7</v>
      </c>
      <c r="L1" s="10" t="s">
        <v>10</v>
      </c>
      <c r="AE1">
        <f>=SUM(A1:AD1)</f>
        <v>0</v>
      </c>
    </row>
    <row r="2" spans="1:14">
      <c r="A2" s="11" t="s">
        <v>11</v>
      </c>
      <c r="B2" s="12" t="s">
        <v>12</v>
      </c>
      <c r="C2" s="13" t="s">
        <v>12</v>
      </c>
      <c r="D2" s="14" t="s"/>
      <c r="E2" s="15" t="s">
        <v>13</v>
      </c>
      <c r="F2" s="15">
        <v>0</v>
      </c>
      <c r="G2" s="15">
        <v>0</v>
      </c>
      <c r="H2" s="16" t="s">
        <v>13</v>
      </c>
      <c r="I2" s="17" t="s">
        <f>=IFERROR(_xlfn.XLOOKUP(H2,$N$2:$N$8,$M$2:$M$8,H2,0),H2)</f>
        <v>12</v>
      </c>
      <c r="J2" s="18">
        <v>0</v>
      </c>
      <c r="K2" s="19">
        <v>0</v>
      </c>
      <c r="L2" s="20" t="b">
        <f>=E2=H2</f>
        <v>1</v>
      </c>
      <c r="M2" t="s">
        <v>12</v>
      </c>
      <c r="N2" t="s">
        <v>13</v>
      </c>
    </row>
    <row r="3" spans="1:14">
      <c r="A3" s="21" t="s"/>
      <c r="B3" s="22" t="s">
        <v>12</v>
      </c>
      <c r="C3" s="9" t="s">
        <v>14</v>
      </c>
      <c r="D3" s="23" t="s"/>
      <c r="E3" s="24" t="s">
        <v>15</v>
      </c>
      <c r="F3" s="24">
        <v>0</v>
      </c>
      <c r="G3" s="24">
        <v>0</v>
      </c>
      <c r="H3" s="8" t="s">
        <v>15</v>
      </c>
      <c r="I3" s="25" t="s">
        <f>=IFERROR(_xlfn.XLOOKUP(H3,$N$2:$N$8,$M$2:$M$8,H3,0),H3)</f>
        <v>14</v>
      </c>
      <c r="J3" s="7">
        <v>0</v>
      </c>
      <c r="K3" s="26">
        <v>0</v>
      </c>
      <c r="L3" s="20" t="b">
        <f>=E3=H3</f>
        <v>1</v>
      </c>
      <c r="M3" t="s">
        <v>14</v>
      </c>
      <c r="N3" t="s">
        <v>15</v>
      </c>
    </row>
    <row r="4" spans="1:14" ht="19.5" customHeight="1">
      <c r="A4" s="27" t="s"/>
      <c r="B4" s="28" t="s">
        <v>12</v>
      </c>
      <c r="C4" s="9" t="s">
        <v>16</v>
      </c>
      <c r="D4" s="29" t="s"/>
      <c r="E4" s="30" t="s">
        <v>17</v>
      </c>
      <c r="F4" s="31">
        <v>0</v>
      </c>
      <c r="G4" s="31">
        <v>0</v>
      </c>
      <c r="H4" s="8" t="s">
        <v>17</v>
      </c>
      <c r="I4" s="25" t="s">
        <f>=IFERROR(_xlfn.XLOOKUP(H4,$N$2:$N$8,$M$2:$M$8,H4,0),H4)</f>
        <v>16</v>
      </c>
      <c r="J4" s="32">
        <v>0</v>
      </c>
      <c r="K4" s="26">
        <v>0</v>
      </c>
      <c r="L4" s="20" t="b">
        <f>=E4=H4</f>
        <v>1</v>
      </c>
      <c r="M4" t="s">
        <v>16</v>
      </c>
      <c r="N4" t="s">
        <v>17</v>
      </c>
    </row>
    <row r="5" spans="1:14">
      <c r="A5" s="27" t="s"/>
      <c r="B5" s="28" t="s">
        <v>12</v>
      </c>
      <c r="C5" s="9" t="s">
        <v>18</v>
      </c>
      <c r="D5" s="29" t="s"/>
      <c r="E5" s="30" t="s">
        <v>19</v>
      </c>
      <c r="F5" s="31">
        <v>0</v>
      </c>
      <c r="G5" s="31">
        <v>0</v>
      </c>
      <c r="H5" s="8" t="s">
        <v>19</v>
      </c>
      <c r="I5" s="25" t="s">
        <f>=IFERROR(_xlfn.XLOOKUP(H5,$N$2:$N$8,$M$2:$M$8,H5,0),H5)</f>
        <v>18</v>
      </c>
      <c r="J5" s="32">
        <v>0</v>
      </c>
      <c r="K5" s="26">
        <v>0</v>
      </c>
      <c r="L5" s="20" t="b">
        <f>=E5=H5</f>
        <v>1</v>
      </c>
      <c r="M5" t="s">
        <v>18</v>
      </c>
      <c r="N5" t="s">
        <v>19</v>
      </c>
    </row>
    <row r="6" spans="1:14">
      <c r="A6" s="27" t="s"/>
      <c r="B6" s="28" t="s">
        <v>12</v>
      </c>
      <c r="C6" s="9" t="s">
        <v>20</v>
      </c>
      <c r="D6" s="29" t="s"/>
      <c r="E6" s="30" t="s">
        <v>19</v>
      </c>
      <c r="F6" s="31">
        <v>0</v>
      </c>
      <c r="G6" s="31">
        <v>0</v>
      </c>
      <c r="H6" s="8" t="s">
        <v>19</v>
      </c>
      <c r="I6" s="25" t="s">
        <f>=IFERROR(_xlfn.XLOOKUP(H6,$N$2:$N$8,$M$2:$M$8,H6,0),H6)</f>
        <v>18</v>
      </c>
      <c r="J6" s="32">
        <v>0</v>
      </c>
      <c r="K6" s="26">
        <v>0</v>
      </c>
      <c r="L6" s="20" t="b">
        <f>=E6=H6</f>
        <v>1</v>
      </c>
      <c r="M6" t="s">
        <v>20</v>
      </c>
      <c r="N6" t="s">
        <v>21</v>
      </c>
    </row>
    <row r="7" spans="1:14" ht="21" customHeight="1">
      <c r="A7" s="27" t="s"/>
      <c r="B7" s="22" t="s">
        <v>12</v>
      </c>
      <c r="C7" s="9" t="s">
        <v>22</v>
      </c>
      <c r="D7" s="23" t="s"/>
      <c r="E7" s="24" t="s">
        <v>15</v>
      </c>
      <c r="F7" s="24">
        <v>0</v>
      </c>
      <c r="G7" s="24">
        <v>0</v>
      </c>
      <c r="H7" s="8" t="s">
        <v>15</v>
      </c>
      <c r="I7" s="25" t="s">
        <f>=IFERROR(_xlfn.XLOOKUP(H7,$N$2:$N$8,$M$2:$M$8,H7,0),H7)</f>
        <v>14</v>
      </c>
      <c r="J7" s="32">
        <v>0</v>
      </c>
      <c r="K7" s="26">
        <v>0</v>
      </c>
      <c r="L7" s="20" t="b">
        <f>=E7=H7</f>
        <v>1</v>
      </c>
      <c r="M7" t="s">
        <v>22</v>
      </c>
      <c r="N7" t="s">
        <v>23</v>
      </c>
    </row>
    <row r="8" spans="1:14">
      <c r="A8" s="21" t="s"/>
      <c r="B8" s="22" t="s">
        <v>12</v>
      </c>
      <c r="C8" s="9" t="s">
        <v>24</v>
      </c>
      <c r="D8" s="23" t="s"/>
      <c r="E8" s="24" t="s">
        <v>17</v>
      </c>
      <c r="F8" s="24">
        <v>0</v>
      </c>
      <c r="G8" s="24">
        <v>0</v>
      </c>
      <c r="H8" s="8" t="s">
        <v>17</v>
      </c>
      <c r="I8" s="25" t="s">
        <f>=IFERROR(_xlfn.XLOOKUP(H8,$N$2:$N$8,$M$2:$M$8,H8,0),H8)</f>
        <v>16</v>
      </c>
      <c r="J8" s="7">
        <v>0</v>
      </c>
      <c r="K8" s="26">
        <v>0</v>
      </c>
      <c r="L8" s="20" t="b">
        <f>=E8=H8</f>
        <v>1</v>
      </c>
      <c r="M8" t="s">
        <v>24</v>
      </c>
      <c r="N8" t="s">
        <v>25</v>
      </c>
    </row>
    <row r="9" spans="1:12">
      <c r="A9" s="21" t="s"/>
      <c r="B9" s="22" t="s">
        <v>14</v>
      </c>
      <c r="C9" s="9" t="s">
        <v>12</v>
      </c>
      <c r="D9" s="23" t="s"/>
      <c r="E9" s="24" t="s">
        <v>15</v>
      </c>
      <c r="F9" s="24">
        <v>0</v>
      </c>
      <c r="G9" s="24">
        <v>0</v>
      </c>
      <c r="H9" s="8" t="s">
        <v>15</v>
      </c>
      <c r="I9" s="25" t="s">
        <f>=IFERROR(_xlfn.XLOOKUP(H9,$N$2:$N$8,$M$2:$M$8,H9,0),H9)</f>
        <v>14</v>
      </c>
      <c r="J9" s="7">
        <v>0</v>
      </c>
      <c r="K9" s="26">
        <v>0</v>
      </c>
      <c r="L9" s="20" t="b">
        <f>=E9=H9</f>
        <v>1</v>
      </c>
    </row>
    <row r="10" spans="1:12">
      <c r="A10" s="21" t="s"/>
      <c r="B10" s="7" t="s">
        <v>14</v>
      </c>
      <c r="C10" s="9" t="s">
        <v>14</v>
      </c>
      <c r="D10" s="23" t="s"/>
      <c r="E10" s="24" t="s">
        <v>13</v>
      </c>
      <c r="F10" s="24">
        <v>0</v>
      </c>
      <c r="G10" s="24">
        <v>0</v>
      </c>
      <c r="H10" s="8" t="s">
        <v>13</v>
      </c>
      <c r="I10" s="25" t="s">
        <f>=IFERROR(_xlfn.XLOOKUP(H10,$N$2:$N$8,$M$2:$M$8,H10,0),H10)</f>
        <v>12</v>
      </c>
      <c r="J10" s="7">
        <v>0</v>
      </c>
      <c r="K10" s="26">
        <v>0</v>
      </c>
      <c r="L10" s="20" t="b">
        <f>=E10=H10</f>
        <v>1</v>
      </c>
    </row>
    <row r="11" spans="1:12">
      <c r="A11" s="21" t="s"/>
      <c r="B11" s="22" t="s">
        <v>14</v>
      </c>
      <c r="C11" s="9" t="s">
        <v>16</v>
      </c>
      <c r="D11" s="23" t="s"/>
      <c r="E11" s="24" t="s">
        <v>19</v>
      </c>
      <c r="F11" s="24">
        <v>0</v>
      </c>
      <c r="G11" s="24">
        <v>0</v>
      </c>
      <c r="H11" s="8" t="s">
        <v>19</v>
      </c>
      <c r="I11" s="25" t="s">
        <f>=IFERROR(_xlfn.XLOOKUP(H11,$N$2:$N$8,$M$2:$M$8,H11,0),H11)</f>
        <v>18</v>
      </c>
      <c r="J11" s="7">
        <v>0</v>
      </c>
      <c r="K11" s="26">
        <v>0</v>
      </c>
      <c r="L11" s="20" t="b">
        <f>=E11=H11</f>
        <v>1</v>
      </c>
    </row>
    <row r="12" spans="1:12">
      <c r="A12" s="21" t="s"/>
      <c r="B12" s="22" t="s">
        <v>14</v>
      </c>
      <c r="C12" s="9" t="s">
        <v>18</v>
      </c>
      <c r="D12" s="23" t="s"/>
      <c r="E12" s="24" t="s">
        <v>17</v>
      </c>
      <c r="F12" s="24">
        <v>0</v>
      </c>
      <c r="G12" s="24">
        <v>0</v>
      </c>
      <c r="H12" s="8" t="s">
        <v>17</v>
      </c>
      <c r="I12" s="25" t="s">
        <f>=IFERROR(_xlfn.XLOOKUP(H12,$N$2:$N$8,$M$2:$M$8,H12,0),H12)</f>
        <v>16</v>
      </c>
      <c r="J12" s="7">
        <v>0</v>
      </c>
      <c r="K12" s="26">
        <v>0</v>
      </c>
      <c r="L12" s="20" t="b">
        <f>=E12=H12</f>
        <v>1</v>
      </c>
    </row>
    <row r="13" spans="1:12">
      <c r="A13" s="21" t="s"/>
      <c r="B13" s="22" t="s">
        <v>14</v>
      </c>
      <c r="C13" s="9" t="s">
        <v>20</v>
      </c>
      <c r="D13" s="23" t="s"/>
      <c r="E13" s="24" t="s">
        <v>17</v>
      </c>
      <c r="F13" s="24">
        <v>0</v>
      </c>
      <c r="G13" s="24">
        <v>0</v>
      </c>
      <c r="H13" s="8" t="s">
        <v>17</v>
      </c>
      <c r="I13" s="25" t="s">
        <f>=IFERROR(_xlfn.XLOOKUP(H13,$N$2:$N$8,$M$2:$M$8,H13,0),H13)</f>
        <v>16</v>
      </c>
      <c r="J13" s="7">
        <v>0</v>
      </c>
      <c r="K13" s="26">
        <v>0</v>
      </c>
      <c r="L13" s="20" t="b">
        <f>=E13=H13</f>
        <v>1</v>
      </c>
    </row>
    <row r="14" spans="1:12">
      <c r="A14" s="21" t="s"/>
      <c r="B14" s="22" t="s">
        <v>14</v>
      </c>
      <c r="C14" s="9" t="s">
        <v>22</v>
      </c>
      <c r="D14" s="23" t="s"/>
      <c r="E14" s="24" t="s">
        <v>13</v>
      </c>
      <c r="F14" s="24">
        <v>0</v>
      </c>
      <c r="G14" s="24">
        <v>0</v>
      </c>
      <c r="H14" s="8" t="s">
        <v>13</v>
      </c>
      <c r="I14" s="25" t="s">
        <f>=IFERROR(_xlfn.XLOOKUP(H14,$N$2:$N$8,$M$2:$M$8,H14,0),H14)</f>
        <v>12</v>
      </c>
      <c r="J14" s="7">
        <v>0</v>
      </c>
      <c r="K14" s="26">
        <v>0</v>
      </c>
      <c r="L14" s="20" t="b">
        <f>=E14=H14</f>
        <v>1</v>
      </c>
    </row>
    <row r="15" spans="1:12">
      <c r="A15" s="21" t="s"/>
      <c r="B15" s="22" t="s">
        <v>14</v>
      </c>
      <c r="C15" s="9" t="s">
        <v>24</v>
      </c>
      <c r="D15" s="23" t="s"/>
      <c r="E15" s="24" t="s">
        <v>19</v>
      </c>
      <c r="F15" s="24">
        <v>0</v>
      </c>
      <c r="G15" s="24">
        <v>0</v>
      </c>
      <c r="H15" s="8" t="s">
        <v>19</v>
      </c>
      <c r="I15" s="25" t="s">
        <f>=IFERROR(_xlfn.XLOOKUP(H15,$N$2:$N$8,$M$2:$M$8,H15,0),H15)</f>
        <v>18</v>
      </c>
      <c r="J15" s="7">
        <v>0</v>
      </c>
      <c r="K15" s="26">
        <v>0</v>
      </c>
      <c r="L15" s="20" t="b">
        <f>=E15=H15</f>
        <v>1</v>
      </c>
    </row>
    <row r="16" spans="1:12">
      <c r="A16" s="21" t="s"/>
      <c r="B16" s="22" t="s">
        <v>16</v>
      </c>
      <c r="C16" s="9" t="s">
        <v>12</v>
      </c>
      <c r="D16" s="23" t="s"/>
      <c r="E16" s="24" t="s">
        <v>17</v>
      </c>
      <c r="F16" s="24">
        <v>0</v>
      </c>
      <c r="G16" s="24">
        <v>0</v>
      </c>
      <c r="H16" s="8" t="s">
        <v>17</v>
      </c>
      <c r="I16" s="25" t="s">
        <f>=IFERROR(_xlfn.XLOOKUP(H16,$N$2:$N$8,$M$2:$M$8,H16,0),H16)</f>
        <v>16</v>
      </c>
      <c r="J16" s="7">
        <v>0</v>
      </c>
      <c r="K16" s="26">
        <v>0</v>
      </c>
      <c r="L16" s="20" t="b">
        <f>=E16=H16</f>
        <v>1</v>
      </c>
    </row>
    <row r="17" spans="1:12">
      <c r="A17" s="21" t="s"/>
      <c r="B17" s="22" t="s">
        <v>16</v>
      </c>
      <c r="C17" s="9" t="s">
        <v>14</v>
      </c>
      <c r="D17" s="23" t="s"/>
      <c r="E17" s="24" t="s">
        <v>19</v>
      </c>
      <c r="F17" s="24">
        <v>0</v>
      </c>
      <c r="G17" s="24">
        <v>0</v>
      </c>
      <c r="H17" s="8" t="s">
        <v>19</v>
      </c>
      <c r="I17" s="25" t="s">
        <f>=IFERROR(_xlfn.XLOOKUP(H17,$N$2:$N$8,$M$2:$M$8,H17,0),H17)</f>
        <v>18</v>
      </c>
      <c r="J17" s="7">
        <v>0</v>
      </c>
      <c r="K17" s="26">
        <v>0</v>
      </c>
      <c r="L17" s="20" t="b">
        <f>=E17=H17</f>
        <v>1</v>
      </c>
    </row>
    <row r="18" spans="1:12">
      <c r="A18" s="21" t="s"/>
      <c r="B18" s="22" t="s">
        <v>16</v>
      </c>
      <c r="C18" s="9" t="s">
        <v>16</v>
      </c>
      <c r="D18" s="23" t="s"/>
      <c r="E18" s="24" t="s">
        <v>17</v>
      </c>
      <c r="F18" s="24">
        <v>0</v>
      </c>
      <c r="G18" s="24">
        <v>0</v>
      </c>
      <c r="H18" s="8" t="s">
        <v>17</v>
      </c>
      <c r="I18" s="25" t="s">
        <f>=IFERROR(_xlfn.XLOOKUP(H18,$N$2:$N$8,$M$2:$M$8,H18,0),H18)</f>
        <v>16</v>
      </c>
      <c r="J18" s="7">
        <v>0</v>
      </c>
      <c r="K18" s="26">
        <v>0</v>
      </c>
      <c r="L18" s="20" t="b">
        <f>=E18=H18</f>
        <v>1</v>
      </c>
    </row>
    <row r="19" spans="1:12">
      <c r="A19" s="21" t="s"/>
      <c r="B19" s="22" t="s">
        <v>16</v>
      </c>
      <c r="C19" s="9" t="s">
        <v>18</v>
      </c>
      <c r="D19" s="23" t="s"/>
      <c r="E19" s="24" t="s">
        <v>19</v>
      </c>
      <c r="F19" s="24">
        <v>0</v>
      </c>
      <c r="G19" s="24">
        <v>0</v>
      </c>
      <c r="H19" s="8" t="s">
        <v>19</v>
      </c>
      <c r="I19" s="25" t="s">
        <f>=IFERROR(_xlfn.XLOOKUP(H19,$N$2:$N$8,$M$2:$M$8,H19,0),H19)</f>
        <v>18</v>
      </c>
      <c r="J19" s="7">
        <v>0</v>
      </c>
      <c r="K19" s="26">
        <v>0</v>
      </c>
      <c r="L19" s="20" t="b">
        <f>=E19=H19</f>
        <v>1</v>
      </c>
    </row>
    <row r="20" spans="1:12">
      <c r="A20" s="33" t="s"/>
      <c r="B20" s="22" t="s">
        <v>16</v>
      </c>
      <c r="C20" s="9" t="s">
        <v>20</v>
      </c>
      <c r="D20" s="23" t="s"/>
      <c r="E20" s="24" t="s">
        <v>19</v>
      </c>
      <c r="F20" s="24">
        <v>0</v>
      </c>
      <c r="G20" s="24">
        <v>0</v>
      </c>
      <c r="H20" s="8" t="s">
        <v>19</v>
      </c>
      <c r="I20" s="25" t="s">
        <f>=IFERROR(_xlfn.XLOOKUP(H20,$N$2:$N$8,$M$2:$M$8,H20,0),H20)</f>
        <v>18</v>
      </c>
      <c r="J20" s="7">
        <v>0</v>
      </c>
      <c r="K20" s="26">
        <v>0</v>
      </c>
      <c r="L20" s="20" t="b">
        <f>=E20=H20</f>
        <v>1</v>
      </c>
    </row>
    <row r="21" spans="1:12">
      <c r="A21" s="21" t="s"/>
      <c r="B21" s="22" t="s">
        <v>16</v>
      </c>
      <c r="C21" s="9" t="s">
        <v>22</v>
      </c>
      <c r="D21" s="23" t="s"/>
      <c r="E21" s="24" t="s">
        <v>19</v>
      </c>
      <c r="F21" s="24">
        <v>0</v>
      </c>
      <c r="G21" s="24">
        <v>0</v>
      </c>
      <c r="H21" s="8" t="s">
        <v>19</v>
      </c>
      <c r="I21" s="25" t="s">
        <f>=IFERROR(_xlfn.XLOOKUP(H21,$N$2:$N$8,$M$2:$M$8,H21,0),H21)</f>
        <v>18</v>
      </c>
      <c r="J21" s="7">
        <v>0</v>
      </c>
      <c r="K21" s="26">
        <v>0</v>
      </c>
      <c r="L21" s="20" t="b">
        <f>=E21=H21</f>
        <v>1</v>
      </c>
    </row>
    <row r="22" spans="1:12">
      <c r="A22" s="21" t="s"/>
      <c r="B22" s="22" t="s">
        <v>16</v>
      </c>
      <c r="C22" s="9" t="s">
        <v>24</v>
      </c>
      <c r="D22" s="23" t="s"/>
      <c r="E22" s="24" t="s">
        <v>17</v>
      </c>
      <c r="F22" s="24">
        <v>0</v>
      </c>
      <c r="G22" s="24">
        <v>0</v>
      </c>
      <c r="H22" s="8" t="s">
        <v>17</v>
      </c>
      <c r="I22" s="25" t="s">
        <f>=IFERROR(_xlfn.XLOOKUP(H22,$N$2:$N$8,$M$2:$M$8,H22,0),H22)</f>
        <v>16</v>
      </c>
      <c r="J22" s="7">
        <v>0</v>
      </c>
      <c r="K22" s="26">
        <v>0</v>
      </c>
      <c r="L22" s="20" t="b">
        <f>=E22=H22</f>
        <v>1</v>
      </c>
    </row>
    <row r="23" spans="1:12">
      <c r="A23" s="21" t="s"/>
      <c r="B23" s="22" t="s">
        <v>18</v>
      </c>
      <c r="C23" s="9" t="s">
        <v>12</v>
      </c>
      <c r="D23" s="23" t="s"/>
      <c r="E23" s="24" t="s">
        <v>19</v>
      </c>
      <c r="F23" s="24">
        <v>0</v>
      </c>
      <c r="G23" s="24">
        <v>0</v>
      </c>
      <c r="H23" s="8" t="s">
        <v>19</v>
      </c>
      <c r="I23" s="25" t="s">
        <f>=IFERROR(_xlfn.XLOOKUP(H23,$N$2:$N$8,$M$2:$M$8,H23,0),H23)</f>
        <v>18</v>
      </c>
      <c r="J23" s="7">
        <v>0</v>
      </c>
      <c r="K23" s="26">
        <v>0</v>
      </c>
      <c r="L23" s="20" t="b">
        <f>=E23=H23</f>
        <v>1</v>
      </c>
    </row>
    <row r="24" spans="1:12">
      <c r="A24" s="21" t="s"/>
      <c r="B24" s="22" t="s">
        <v>18</v>
      </c>
      <c r="C24" s="9" t="s">
        <v>14</v>
      </c>
      <c r="D24" s="23" t="s"/>
      <c r="E24" s="24" t="s">
        <v>17</v>
      </c>
      <c r="F24" s="24">
        <v>0</v>
      </c>
      <c r="G24" s="24">
        <v>0</v>
      </c>
      <c r="H24" s="8" t="s">
        <v>17</v>
      </c>
      <c r="I24" s="25" t="s">
        <f>=IFERROR(_xlfn.XLOOKUP(H24,$N$2:$N$8,$M$2:$M$8,H24,0),H24)</f>
        <v>16</v>
      </c>
      <c r="J24" s="7">
        <v>0</v>
      </c>
      <c r="K24" s="26">
        <v>0</v>
      </c>
      <c r="L24" s="20" t="b">
        <f>=E24=H24</f>
        <v>1</v>
      </c>
    </row>
    <row r="25" spans="1:12">
      <c r="A25" s="33" t="s"/>
      <c r="B25" s="22" t="s">
        <v>18</v>
      </c>
      <c r="C25" s="9" t="s">
        <v>16</v>
      </c>
      <c r="D25" s="23" t="s"/>
      <c r="E25" s="24" t="s">
        <v>19</v>
      </c>
      <c r="F25" s="24">
        <v>0</v>
      </c>
      <c r="G25" s="24">
        <v>0</v>
      </c>
      <c r="H25" s="8" t="s">
        <v>19</v>
      </c>
      <c r="I25" s="25" t="s">
        <f>=IFERROR(_xlfn.XLOOKUP(H25,$N$2:$N$8,$M$2:$M$8,H25,0),H25)</f>
        <v>18</v>
      </c>
      <c r="J25" s="7">
        <v>0</v>
      </c>
      <c r="K25" s="26">
        <v>0</v>
      </c>
      <c r="L25" s="20" t="b">
        <f>=E25=H25</f>
        <v>1</v>
      </c>
    </row>
    <row r="26" spans="1:12">
      <c r="A26" s="21" t="s"/>
      <c r="B26" s="22" t="s">
        <v>18</v>
      </c>
      <c r="C26" s="9" t="s">
        <v>18</v>
      </c>
      <c r="D26" s="23" t="s"/>
      <c r="E26" s="24" t="s">
        <v>17</v>
      </c>
      <c r="F26" s="24">
        <v>0</v>
      </c>
      <c r="G26" s="24">
        <v>0</v>
      </c>
      <c r="H26" s="8" t="s">
        <v>17</v>
      </c>
      <c r="I26" s="25" t="s">
        <f>=IFERROR(_xlfn.XLOOKUP(H26,$N$2:$N$8,$M$2:$M$8,H26,0),H26)</f>
        <v>16</v>
      </c>
      <c r="J26" s="7">
        <v>0</v>
      </c>
      <c r="K26" s="26">
        <v>0</v>
      </c>
      <c r="L26" s="20" t="b">
        <f>=E26=H26</f>
        <v>1</v>
      </c>
    </row>
    <row r="27" spans="1:12">
      <c r="A27" s="21" t="s"/>
      <c r="B27" s="22" t="s">
        <v>18</v>
      </c>
      <c r="C27" s="9" t="s">
        <v>20</v>
      </c>
      <c r="D27" s="23" t="s"/>
      <c r="E27" s="24" t="s">
        <v>17</v>
      </c>
      <c r="F27" s="24">
        <v>0</v>
      </c>
      <c r="G27" s="24">
        <v>0</v>
      </c>
      <c r="H27" s="8" t="s">
        <v>17</v>
      </c>
      <c r="I27" s="25" t="s">
        <f>=IFERROR(_xlfn.XLOOKUP(H27,$N$2:$N$8,$M$2:$M$8,H27,0),H27)</f>
        <v>16</v>
      </c>
      <c r="J27" s="7">
        <v>0</v>
      </c>
      <c r="K27" s="26">
        <v>0</v>
      </c>
      <c r="L27" s="20" t="b">
        <f>=E27=H27</f>
        <v>1</v>
      </c>
    </row>
    <row r="28" spans="1:12">
      <c r="A28" s="21" t="s"/>
      <c r="B28" s="22" t="s">
        <v>18</v>
      </c>
      <c r="C28" s="9" t="s">
        <v>22</v>
      </c>
      <c r="D28" s="23" t="s"/>
      <c r="E28" s="24" t="s">
        <v>17</v>
      </c>
      <c r="F28" s="24">
        <v>0</v>
      </c>
      <c r="G28" s="24">
        <v>0</v>
      </c>
      <c r="H28" s="8" t="s">
        <v>17</v>
      </c>
      <c r="I28" s="25" t="s">
        <f>=IFERROR(_xlfn.XLOOKUP(H28,$N$2:$N$8,$M$2:$M$8,H28,0),H28)</f>
        <v>16</v>
      </c>
      <c r="J28" s="7">
        <v>0</v>
      </c>
      <c r="K28" s="26">
        <v>0</v>
      </c>
      <c r="L28" s="20" t="b">
        <f>=E28=H28</f>
        <v>1</v>
      </c>
    </row>
    <row r="29" spans="1:12">
      <c r="A29" s="21" t="s"/>
      <c r="B29" s="22" t="s">
        <v>18</v>
      </c>
      <c r="C29" s="9" t="s">
        <v>24</v>
      </c>
      <c r="D29" s="23" t="s"/>
      <c r="E29" s="24" t="s">
        <v>19</v>
      </c>
      <c r="F29" s="24">
        <v>0</v>
      </c>
      <c r="G29" s="24">
        <v>0</v>
      </c>
      <c r="H29" s="8" t="s">
        <v>19</v>
      </c>
      <c r="I29" s="25" t="s">
        <f>=IFERROR(_xlfn.XLOOKUP(H29,$N$2:$N$8,$M$2:$M$8,H29,0),H29)</f>
        <v>18</v>
      </c>
      <c r="J29" s="7">
        <v>0</v>
      </c>
      <c r="K29" s="26">
        <v>0</v>
      </c>
      <c r="L29" s="20" t="b">
        <f>=E29=H29</f>
        <v>1</v>
      </c>
    </row>
    <row r="30" spans="1:12">
      <c r="A30" s="21" t="s"/>
      <c r="B30" s="22" t="s">
        <v>20</v>
      </c>
      <c r="C30" s="9" t="s">
        <v>12</v>
      </c>
      <c r="D30" s="23" t="s"/>
      <c r="E30" s="24" t="s">
        <v>19</v>
      </c>
      <c r="F30" s="24">
        <v>0</v>
      </c>
      <c r="G30" s="24">
        <v>0</v>
      </c>
      <c r="H30" s="8" t="s">
        <v>19</v>
      </c>
      <c r="I30" s="25" t="s">
        <f>=IFERROR(_xlfn.XLOOKUP(H30,$N$2:$N$8,$M$2:$M$8,H30,0),H30)</f>
        <v>18</v>
      </c>
      <c r="J30" s="7">
        <v>0</v>
      </c>
      <c r="K30" s="26">
        <v>0</v>
      </c>
      <c r="L30" s="20" t="b">
        <f>=E30=H30</f>
        <v>1</v>
      </c>
    </row>
    <row r="31" spans="1:12">
      <c r="A31" s="21" t="s"/>
      <c r="B31" s="22" t="s">
        <v>20</v>
      </c>
      <c r="C31" s="9" t="s">
        <v>14</v>
      </c>
      <c r="D31" s="23" t="s"/>
      <c r="E31" s="24" t="s">
        <v>17</v>
      </c>
      <c r="F31" s="24">
        <v>0</v>
      </c>
      <c r="G31" s="24">
        <v>0</v>
      </c>
      <c r="H31" s="8" t="s">
        <v>17</v>
      </c>
      <c r="I31" s="25" t="s">
        <f>=IFERROR(_xlfn.XLOOKUP(H31,$N$2:$N$8,$M$2:$M$8,H31,0),H31)</f>
        <v>16</v>
      </c>
      <c r="J31" s="7">
        <v>0</v>
      </c>
      <c r="K31" s="26">
        <v>0</v>
      </c>
      <c r="L31" s="20" t="b">
        <f>=E31=H31</f>
        <v>1</v>
      </c>
    </row>
    <row r="32" spans="1:12">
      <c r="A32" s="33" t="s"/>
      <c r="B32" s="22" t="s">
        <v>20</v>
      </c>
      <c r="C32" s="9" t="s">
        <v>16</v>
      </c>
      <c r="D32" s="23" t="s"/>
      <c r="E32" s="24" t="s">
        <v>19</v>
      </c>
      <c r="F32" s="24">
        <v>0</v>
      </c>
      <c r="G32" s="24">
        <v>0</v>
      </c>
      <c r="H32" s="8" t="s">
        <v>19</v>
      </c>
      <c r="I32" s="25" t="s">
        <f>=IFERROR(_xlfn.XLOOKUP(H32,$N$2:$N$8,$M$2:$M$8,H32,0),H32)</f>
        <v>18</v>
      </c>
      <c r="J32" s="7">
        <v>0</v>
      </c>
      <c r="K32" s="26">
        <v>0</v>
      </c>
      <c r="L32" s="20" t="b">
        <f>=E32=H32</f>
        <v>1</v>
      </c>
    </row>
    <row r="33" spans="1:12">
      <c r="A33" s="21" t="s"/>
      <c r="B33" s="22" t="s">
        <v>20</v>
      </c>
      <c r="C33" s="9" t="s">
        <v>18</v>
      </c>
      <c r="D33" s="23" t="s"/>
      <c r="E33" s="24" t="s">
        <v>17</v>
      </c>
      <c r="F33" s="24">
        <v>0</v>
      </c>
      <c r="G33" s="24">
        <v>0</v>
      </c>
      <c r="H33" s="8" t="s">
        <v>17</v>
      </c>
      <c r="I33" s="25" t="s">
        <f>=IFERROR(_xlfn.XLOOKUP(H33,$N$2:$N$8,$M$2:$M$8,H33,0),H33)</f>
        <v>16</v>
      </c>
      <c r="J33" s="7">
        <v>0</v>
      </c>
      <c r="K33" s="26">
        <v>0</v>
      </c>
      <c r="L33" s="20" t="b">
        <f>=E33=H33</f>
        <v>1</v>
      </c>
    </row>
    <row r="34" spans="1:12">
      <c r="A34" s="21" t="s"/>
      <c r="B34" s="22" t="s">
        <v>20</v>
      </c>
      <c r="C34" s="9" t="s">
        <v>20</v>
      </c>
      <c r="D34" s="23" t="s"/>
      <c r="E34" s="24" t="s">
        <v>17</v>
      </c>
      <c r="F34" s="24">
        <v>0</v>
      </c>
      <c r="G34" s="24">
        <v>0</v>
      </c>
      <c r="H34" s="8" t="s">
        <v>17</v>
      </c>
      <c r="I34" s="25" t="s">
        <f>=IFERROR(_xlfn.XLOOKUP(H34,$N$2:$N$8,$M$2:$M$8,H34,0),H34)</f>
        <v>16</v>
      </c>
      <c r="J34" s="7">
        <v>0</v>
      </c>
      <c r="K34" s="26">
        <v>0</v>
      </c>
      <c r="L34" s="20" t="b">
        <f>=E34=H34</f>
        <v>1</v>
      </c>
    </row>
    <row r="35" spans="1:12">
      <c r="A35" s="21" t="s"/>
      <c r="B35" s="22" t="s">
        <v>20</v>
      </c>
      <c r="C35" s="9" t="s">
        <v>22</v>
      </c>
      <c r="D35" s="23" t="s"/>
      <c r="E35" s="24" t="s">
        <v>17</v>
      </c>
      <c r="F35" s="24">
        <v>0</v>
      </c>
      <c r="G35" s="24">
        <v>0</v>
      </c>
      <c r="H35" s="8" t="s">
        <v>17</v>
      </c>
      <c r="I35" s="25" t="s">
        <f>=IFERROR(_xlfn.XLOOKUP(H35,$N$2:$N$8,$M$2:$M$8,H35,0),H35)</f>
        <v>16</v>
      </c>
      <c r="J35" s="7">
        <v>0</v>
      </c>
      <c r="K35" s="26">
        <v>0</v>
      </c>
      <c r="L35" s="20" t="b">
        <f>=E35=H35</f>
        <v>1</v>
      </c>
    </row>
    <row r="36" spans="1:12">
      <c r="A36" s="21" t="s"/>
      <c r="B36" s="22" t="s">
        <v>20</v>
      </c>
      <c r="C36" s="9" t="s">
        <v>24</v>
      </c>
      <c r="D36" s="23" t="s"/>
      <c r="E36" s="24" t="s">
        <v>19</v>
      </c>
      <c r="F36" s="24">
        <v>0</v>
      </c>
      <c r="G36" s="24">
        <v>0</v>
      </c>
      <c r="H36" s="8" t="s">
        <v>19</v>
      </c>
      <c r="I36" s="25" t="s">
        <f>=IFERROR(_xlfn.XLOOKUP(H36,$N$2:$N$8,$M$2:$M$8,H36,0),H36)</f>
        <v>18</v>
      </c>
      <c r="J36" s="7">
        <v>0</v>
      </c>
      <c r="K36" s="26">
        <v>0</v>
      </c>
      <c r="L36" s="20" t="b">
        <f>=E36=H36</f>
        <v>1</v>
      </c>
    </row>
    <row r="37" spans="1:12">
      <c r="A37" s="21" t="s"/>
      <c r="B37" s="22" t="s">
        <v>22</v>
      </c>
      <c r="C37" s="9" t="s">
        <v>12</v>
      </c>
      <c r="D37" s="23" t="s"/>
      <c r="E37" s="24" t="s">
        <v>15</v>
      </c>
      <c r="F37" s="24">
        <v>0</v>
      </c>
      <c r="G37" s="24">
        <v>0</v>
      </c>
      <c r="H37" s="8" t="s">
        <v>15</v>
      </c>
      <c r="I37" s="25" t="s">
        <f>=IFERROR(_xlfn.XLOOKUP(H37,$N$2:$N$8,$M$2:$M$8,H37,0),H37)</f>
        <v>14</v>
      </c>
      <c r="J37" s="7">
        <v>0</v>
      </c>
      <c r="K37" s="26">
        <v>0</v>
      </c>
      <c r="L37" s="20" t="b">
        <f>=E37=H37</f>
        <v>1</v>
      </c>
    </row>
    <row r="38" spans="1:12">
      <c r="A38" s="21" t="s"/>
      <c r="B38" s="22" t="s">
        <v>22</v>
      </c>
      <c r="C38" s="9" t="s">
        <v>14</v>
      </c>
      <c r="D38" s="23" t="s"/>
      <c r="E38" s="24" t="s">
        <v>13</v>
      </c>
      <c r="F38" s="24">
        <v>0</v>
      </c>
      <c r="G38" s="24">
        <v>0</v>
      </c>
      <c r="H38" s="8" t="s">
        <v>13</v>
      </c>
      <c r="I38" s="25" t="s">
        <f>=IFERROR(_xlfn.XLOOKUP(H38,$N$2:$N$8,$M$2:$M$8,H38,0),H38)</f>
        <v>12</v>
      </c>
      <c r="J38" s="7">
        <v>0</v>
      </c>
      <c r="K38" s="26">
        <v>0</v>
      </c>
      <c r="L38" s="20" t="b">
        <f>=E38=H38</f>
        <v>1</v>
      </c>
    </row>
    <row r="39" spans="1:12">
      <c r="A39" s="21" t="s"/>
      <c r="B39" s="22" t="s">
        <v>22</v>
      </c>
      <c r="C39" s="9" t="s">
        <v>16</v>
      </c>
      <c r="D39" s="23" t="s"/>
      <c r="E39" s="24" t="s">
        <v>19</v>
      </c>
      <c r="F39" s="24">
        <v>0</v>
      </c>
      <c r="G39" s="24">
        <v>0</v>
      </c>
      <c r="H39" s="8" t="s">
        <v>19</v>
      </c>
      <c r="I39" s="25" t="s">
        <f>=IFERROR(_xlfn.XLOOKUP(H39,$N$2:$N$8,$M$2:$M$8,H39,0),H39)</f>
        <v>18</v>
      </c>
      <c r="J39" s="7">
        <v>0</v>
      </c>
      <c r="K39" s="26">
        <v>0</v>
      </c>
      <c r="L39" s="20" t="b">
        <f>=E39=H39</f>
        <v>1</v>
      </c>
    </row>
    <row r="40" spans="1:12">
      <c r="A40" s="33" t="s"/>
      <c r="B40" s="22" t="s">
        <v>22</v>
      </c>
      <c r="C40" s="9" t="s">
        <v>18</v>
      </c>
      <c r="D40" s="23" t="s"/>
      <c r="E40" s="24" t="s">
        <v>17</v>
      </c>
      <c r="F40" s="24">
        <v>0</v>
      </c>
      <c r="G40" s="24">
        <v>0</v>
      </c>
      <c r="H40" s="8" t="s">
        <v>17</v>
      </c>
      <c r="I40" s="25" t="s">
        <f>=IFERROR(_xlfn.XLOOKUP(H40,$N$2:$N$8,$M$2:$M$8,H40,0),H40)</f>
        <v>16</v>
      </c>
      <c r="J40" s="7">
        <v>0</v>
      </c>
      <c r="K40" s="26">
        <v>0</v>
      </c>
      <c r="L40" s="20" t="b">
        <f>=E40=H40</f>
        <v>1</v>
      </c>
    </row>
    <row r="41" spans="1:12">
      <c r="A41" s="21" t="s"/>
      <c r="B41" s="22" t="s">
        <v>22</v>
      </c>
      <c r="C41" s="9" t="s">
        <v>20</v>
      </c>
      <c r="D41" s="23" t="s"/>
      <c r="E41" s="24" t="s">
        <v>17</v>
      </c>
      <c r="F41" s="24">
        <v>0</v>
      </c>
      <c r="G41" s="24">
        <v>0</v>
      </c>
      <c r="H41" s="8" t="s">
        <v>17</v>
      </c>
      <c r="I41" s="25" t="s">
        <f>=IFERROR(_xlfn.XLOOKUP(H41,$N$2:$N$8,$M$2:$M$8,H41,0),H41)</f>
        <v>16</v>
      </c>
      <c r="J41" s="7">
        <v>0</v>
      </c>
      <c r="K41" s="26">
        <v>0</v>
      </c>
      <c r="L41" s="20" t="b">
        <f>=E41=H41</f>
        <v>1</v>
      </c>
    </row>
    <row r="42" spans="1:12">
      <c r="A42" s="21" t="s"/>
      <c r="B42" s="22" t="s">
        <v>22</v>
      </c>
      <c r="C42" s="9" t="s">
        <v>22</v>
      </c>
      <c r="D42" s="23" t="s"/>
      <c r="E42" s="24" t="s">
        <v>13</v>
      </c>
      <c r="F42" s="24">
        <v>0</v>
      </c>
      <c r="G42" s="24">
        <v>0</v>
      </c>
      <c r="H42" s="8" t="s">
        <v>13</v>
      </c>
      <c r="I42" s="25" t="s">
        <f>=IFERROR(_xlfn.XLOOKUP(H42,$N$2:$N$8,$M$2:$M$8,H42,0),H42)</f>
        <v>12</v>
      </c>
      <c r="J42" s="7">
        <v>0</v>
      </c>
      <c r="K42" s="26">
        <v>0</v>
      </c>
      <c r="L42" s="20" t="b">
        <f>=E42=H42</f>
        <v>1</v>
      </c>
    </row>
    <row r="43" spans="1:12">
      <c r="A43" s="21" t="s"/>
      <c r="B43" s="22" t="s">
        <v>22</v>
      </c>
      <c r="C43" s="9" t="s">
        <v>24</v>
      </c>
      <c r="D43" s="23" t="s"/>
      <c r="E43" s="24" t="s">
        <v>19</v>
      </c>
      <c r="F43" s="24">
        <v>0</v>
      </c>
      <c r="G43" s="24">
        <v>0</v>
      </c>
      <c r="H43" s="8" t="s">
        <v>19</v>
      </c>
      <c r="I43" s="25" t="s">
        <f>=IFERROR(_xlfn.XLOOKUP(H43,$N$2:$N$8,$M$2:$M$8,H43,0),H43)</f>
        <v>18</v>
      </c>
      <c r="J43" s="7">
        <v>0</v>
      </c>
      <c r="K43" s="26">
        <v>0</v>
      </c>
      <c r="L43" s="20" t="b">
        <f>=E43=H43</f>
        <v>1</v>
      </c>
    </row>
    <row r="44" spans="1:12">
      <c r="A44" s="21" t="s"/>
      <c r="B44" s="22" t="s">
        <v>24</v>
      </c>
      <c r="C44" s="9" t="s">
        <v>12</v>
      </c>
      <c r="D44" s="23" t="s"/>
      <c r="E44" s="24" t="s">
        <v>17</v>
      </c>
      <c r="F44" s="24">
        <v>0</v>
      </c>
      <c r="G44" s="24">
        <v>0</v>
      </c>
      <c r="H44" s="8" t="s">
        <v>17</v>
      </c>
      <c r="I44" s="25" t="s">
        <f>=IFERROR(_xlfn.XLOOKUP(H44,$N$2:$N$8,$M$2:$M$8,H44,0),H44)</f>
        <v>16</v>
      </c>
      <c r="J44" s="7">
        <v>0</v>
      </c>
      <c r="K44" s="26">
        <v>0</v>
      </c>
      <c r="L44" s="20" t="b">
        <f>=E44=H44</f>
        <v>1</v>
      </c>
    </row>
    <row r="45" spans="1:12">
      <c r="A45" s="21" t="s"/>
      <c r="B45" s="22" t="s">
        <v>24</v>
      </c>
      <c r="C45" s="9" t="s">
        <v>14</v>
      </c>
      <c r="D45" s="23" t="s"/>
      <c r="E45" s="24" t="s">
        <v>19</v>
      </c>
      <c r="F45" s="24">
        <v>0</v>
      </c>
      <c r="G45" s="24">
        <v>0</v>
      </c>
      <c r="H45" s="8" t="s">
        <v>19</v>
      </c>
      <c r="I45" s="25" t="s">
        <f>=IFERROR(_xlfn.XLOOKUP(H45,$N$2:$N$8,$M$2:$M$8,H45,0),H45)</f>
        <v>18</v>
      </c>
      <c r="J45" s="7">
        <v>0</v>
      </c>
      <c r="K45" s="26">
        <v>0</v>
      </c>
      <c r="L45" s="20" t="b">
        <f>=E45=H45</f>
        <v>1</v>
      </c>
    </row>
    <row r="46" spans="1:12">
      <c r="A46" s="21" t="s"/>
      <c r="B46" s="22" t="s">
        <v>24</v>
      </c>
      <c r="C46" s="9" t="s">
        <v>16</v>
      </c>
      <c r="D46" s="23" t="s"/>
      <c r="E46" s="24" t="s">
        <v>17</v>
      </c>
      <c r="F46" s="24">
        <v>0</v>
      </c>
      <c r="G46" s="24">
        <v>0</v>
      </c>
      <c r="H46" s="8" t="s">
        <v>17</v>
      </c>
      <c r="I46" s="25" t="s">
        <f>=IFERROR(_xlfn.XLOOKUP(H46,$N$2:$N$8,$M$2:$M$8,H46,0),H46)</f>
        <v>16</v>
      </c>
      <c r="J46" s="7">
        <v>0</v>
      </c>
      <c r="K46" s="26">
        <v>0</v>
      </c>
      <c r="L46" s="20" t="b">
        <f>=E46=H46</f>
        <v>1</v>
      </c>
    </row>
    <row r="47" spans="1:12">
      <c r="A47" s="33" t="s"/>
      <c r="B47" s="22" t="s">
        <v>24</v>
      </c>
      <c r="C47" s="9" t="s">
        <v>18</v>
      </c>
      <c r="D47" s="23" t="s"/>
      <c r="E47" s="24" t="s">
        <v>19</v>
      </c>
      <c r="F47" s="24">
        <v>0</v>
      </c>
      <c r="G47" s="24">
        <v>0</v>
      </c>
      <c r="H47" s="8" t="s">
        <v>19</v>
      </c>
      <c r="I47" s="25" t="s">
        <f>=IFERROR(_xlfn.XLOOKUP(H47,$N$2:$N$8,$M$2:$M$8,H47,0),H47)</f>
        <v>18</v>
      </c>
      <c r="J47" s="7">
        <v>0</v>
      </c>
      <c r="K47" s="26">
        <v>0</v>
      </c>
      <c r="L47" s="20" t="b">
        <f>=E47=H47</f>
        <v>1</v>
      </c>
    </row>
    <row r="48" spans="1:12">
      <c r="A48" s="21" t="s"/>
      <c r="B48" s="22" t="s">
        <v>24</v>
      </c>
      <c r="C48" s="9" t="s">
        <v>20</v>
      </c>
      <c r="D48" s="23" t="s"/>
      <c r="E48" s="24" t="s">
        <v>19</v>
      </c>
      <c r="F48" s="24">
        <v>0</v>
      </c>
      <c r="G48" s="24">
        <v>0</v>
      </c>
      <c r="H48" s="8" t="s">
        <v>19</v>
      </c>
      <c r="I48" s="25" t="s">
        <f>=IFERROR(_xlfn.XLOOKUP(H48,$N$2:$N$8,$M$2:$M$8,H48,0),H48)</f>
        <v>18</v>
      </c>
      <c r="J48" s="7">
        <v>0</v>
      </c>
      <c r="K48" s="26">
        <v>0</v>
      </c>
      <c r="L48" s="20" t="b">
        <f>=E48=H48</f>
        <v>1</v>
      </c>
    </row>
    <row r="49" spans="1:12">
      <c r="A49" s="21" t="s"/>
      <c r="B49" s="22" t="s">
        <v>24</v>
      </c>
      <c r="C49" s="9" t="s">
        <v>22</v>
      </c>
      <c r="D49" s="23" t="s"/>
      <c r="E49" s="24" t="s">
        <v>19</v>
      </c>
      <c r="F49" s="24">
        <v>0</v>
      </c>
      <c r="G49" s="24">
        <v>0</v>
      </c>
      <c r="H49" s="8" t="s">
        <v>19</v>
      </c>
      <c r="I49" s="25" t="s">
        <f>=IFERROR(_xlfn.XLOOKUP(H49,$N$2:$N$8,$M$2:$M$8,H49,0),H49)</f>
        <v>18</v>
      </c>
      <c r="J49" s="7">
        <v>0</v>
      </c>
      <c r="K49" s="26">
        <v>0</v>
      </c>
      <c r="L49" s="20" t="b">
        <f>=E49=H49</f>
        <v>1</v>
      </c>
    </row>
    <row r="50" spans="1:12">
      <c r="A50" s="21" t="s"/>
      <c r="B50" s="22" t="s">
        <v>24</v>
      </c>
      <c r="C50" s="9" t="s">
        <v>24</v>
      </c>
      <c r="D50" s="23" t="s"/>
      <c r="E50" s="24" t="s">
        <v>17</v>
      </c>
      <c r="F50" s="24">
        <v>0</v>
      </c>
      <c r="G50" s="24">
        <v>0</v>
      </c>
      <c r="H50" s="8" t="s">
        <v>17</v>
      </c>
      <c r="I50" s="34" t="s">
        <f>=IFERROR(_xlfn.XLOOKUP(H50,$N$2:$N$8,$M$2:$M$8,H50,0),H50)</f>
        <v>16</v>
      </c>
      <c r="J50" s="35">
        <v>0</v>
      </c>
      <c r="K50" s="36">
        <v>0</v>
      </c>
      <c r="L50" s="20" t="b">
        <f>=E50=H50</f>
        <v>1</v>
      </c>
    </row>
    <row r="51" spans="1:11">
      <c r="A51" s="11" t="s">
        <v>26</v>
      </c>
      <c r="B51" s="12" t="s"/>
      <c r="C51" s="12" t="s"/>
      <c r="D51" s="14" t="s"/>
      <c r="E51" s="12" t="s"/>
      <c r="F51" s="12" t="s"/>
      <c r="G51" s="12" t="s"/>
      <c r="H51" s="18" t="s"/>
      <c r="I51" s="8" t="s"/>
      <c r="K51" s="37" t="s"/>
    </row>
    <row r="52" spans="1:11">
      <c r="A52" s="27" t="s"/>
      <c r="B52" s="28" t="s"/>
      <c r="C52" s="38" t="s"/>
      <c r="D52" s="29" t="s"/>
      <c r="E52" s="28" t="s"/>
      <c r="F52" s="38" t="s"/>
      <c r="G52" s="38" t="s"/>
      <c r="K52" s="37" t="s"/>
    </row>
    <row r="53" spans="1:11">
      <c r="A53" s="27" t="s"/>
      <c r="B53" s="28" t="s"/>
      <c r="C53" s="38" t="s"/>
      <c r="D53" s="29" t="s"/>
      <c r="E53" s="28" t="s"/>
      <c r="F53" s="38" t="s"/>
      <c r="G53" s="38" t="s"/>
      <c r="K53" s="37" t="s"/>
    </row>
    <row r="54" spans="1:11">
      <c r="A54" s="27" t="s"/>
      <c r="B54" s="28" t="s"/>
      <c r="C54" s="38" t="s"/>
      <c r="D54" s="29" t="s"/>
      <c r="E54" s="28" t="s"/>
      <c r="F54" s="38" t="s"/>
      <c r="G54" s="38" t="s"/>
      <c r="K54" s="37" t="s"/>
    </row>
    <row r="55" spans="1:11">
      <c r="A55" s="27" t="s"/>
      <c r="B55" s="22" t="s"/>
      <c r="C55" s="22" t="s"/>
      <c r="D55" s="23" t="s"/>
      <c r="E55" s="22" t="s"/>
      <c r="F55" s="22" t="s"/>
      <c r="G55" s="22" t="s"/>
      <c r="K55" s="37" t="s"/>
    </row>
    <row r="56" spans="1:11">
      <c r="A56" s="21" t="s"/>
      <c r="B56" s="22" t="s"/>
      <c r="C56" s="22" t="s"/>
      <c r="D56" s="23" t="s"/>
      <c r="E56" s="22" t="s"/>
      <c r="F56" s="22" t="s"/>
      <c r="G56" s="22" t="s"/>
      <c r="K56" s="37" t="s"/>
    </row>
    <row r="57" spans="1:11">
      <c r="A57" s="39" t="s"/>
      <c r="B57" s="40" t="s"/>
      <c r="C57" s="38" t="s"/>
      <c r="D57" s="23" t="s"/>
      <c r="E57" s="22" t="s"/>
      <c r="F57" s="22" t="s"/>
      <c r="G57" s="22" t="s"/>
      <c r="I57" s="34" t="s"/>
      <c r="J57" s="35" t="s"/>
      <c r="K57" s="41" t="s"/>
    </row>
    <row r="58" spans="1:12">
      <c r="A58" s="11" t="s">
        <v>27</v>
      </c>
      <c r="B58" s="12" t="s">
        <v>12</v>
      </c>
      <c r="C58" s="13" t="s">
        <v>12</v>
      </c>
      <c r="D58" s="14" t="s"/>
      <c r="E58" s="42" t="s">
        <v>13</v>
      </c>
      <c r="F58" s="43">
        <v>0</v>
      </c>
      <c r="G58" s="43">
        <v>0</v>
      </c>
      <c r="H58" s="16" t="s">
        <v>13</v>
      </c>
      <c r="I58" s="8" t="s">
        <f>=IFERROR(_xlfn.XLOOKUP(H58,$N$2:$N$8,$M$2:$M$8,H58,0),H58)</f>
        <v>12</v>
      </c>
      <c r="J58" s="32">
        <v>0</v>
      </c>
      <c r="K58" s="26">
        <v>0</v>
      </c>
      <c r="L58" t="b">
        <f>=E58=H58</f>
        <v>1</v>
      </c>
    </row>
    <row r="59" spans="1:12">
      <c r="A59" s="27" t="s"/>
      <c r="B59" s="22" t="s">
        <v>12</v>
      </c>
      <c r="C59" s="9" t="s">
        <v>14</v>
      </c>
      <c r="D59" s="4" t="s"/>
      <c r="E59" s="44" t="s">
        <v>13</v>
      </c>
      <c r="F59" s="45">
        <v>0</v>
      </c>
      <c r="G59" s="45">
        <v>0</v>
      </c>
      <c r="H59" s="25" t="s">
        <v>13</v>
      </c>
      <c r="I59" s="8" t="s">
        <f>=IFERROR(_xlfn.XLOOKUP(H59,$N$2:$N$8,$M$2:$M$8,H59,0),H59)</f>
        <v>12</v>
      </c>
      <c r="J59" s="32">
        <v>0</v>
      </c>
      <c r="K59" s="26">
        <v>0</v>
      </c>
      <c r="L59" t="b">
        <f>=E59=H59</f>
        <v>1</v>
      </c>
    </row>
    <row r="60" spans="1:12">
      <c r="A60" s="27" t="s"/>
      <c r="B60" s="28" t="s">
        <v>12</v>
      </c>
      <c r="C60" s="9" t="s">
        <v>16</v>
      </c>
      <c r="D60" s="4" t="s"/>
      <c r="E60" s="44" t="s">
        <v>17</v>
      </c>
      <c r="F60" s="45">
        <v>0</v>
      </c>
      <c r="G60" s="45">
        <v>0</v>
      </c>
      <c r="H60" s="25" t="s">
        <v>17</v>
      </c>
      <c r="I60" s="8" t="s">
        <f>=IFERROR(_xlfn.XLOOKUP(H60,$N$2:$N$8,$M$2:$M$8,H60,0),H60)</f>
        <v>16</v>
      </c>
      <c r="J60" s="32">
        <v>0</v>
      </c>
      <c r="K60" s="26">
        <v>0</v>
      </c>
      <c r="L60" t="b">
        <f>=E60=H60</f>
        <v>1</v>
      </c>
    </row>
    <row r="61" spans="1:12">
      <c r="A61" s="27" t="s"/>
      <c r="B61" s="28" t="s">
        <v>12</v>
      </c>
      <c r="C61" s="9" t="s">
        <v>18</v>
      </c>
      <c r="D61" s="4" t="s"/>
      <c r="E61" s="44" t="s">
        <v>19</v>
      </c>
      <c r="F61" s="45">
        <v>0</v>
      </c>
      <c r="G61" s="45">
        <v>0</v>
      </c>
      <c r="H61" s="25" t="s">
        <v>19</v>
      </c>
      <c r="I61" s="8" t="s">
        <f>=IFERROR(_xlfn.XLOOKUP(H61,$N$2:$N$8,$M$2:$M$8,H61,0),H61)</f>
        <v>18</v>
      </c>
      <c r="J61" s="32">
        <v>0</v>
      </c>
      <c r="K61" s="26">
        <v>0</v>
      </c>
      <c r="L61" t="b">
        <f>=E61=H61</f>
        <v>1</v>
      </c>
    </row>
    <row r="62" spans="1:12">
      <c r="A62" s="33" t="s"/>
      <c r="B62" s="28" t="s">
        <v>12</v>
      </c>
      <c r="C62" s="9" t="s">
        <v>20</v>
      </c>
      <c r="D62" s="4" t="s"/>
      <c r="E62" s="44" t="s">
        <v>19</v>
      </c>
      <c r="F62" s="45">
        <v>0</v>
      </c>
      <c r="G62" s="45">
        <v>0</v>
      </c>
      <c r="H62" s="8" t="s">
        <v>19</v>
      </c>
      <c r="I62" s="8" t="s">
        <f>=IFERROR(_xlfn.XLOOKUP(H62,$N$2:$N$8,$M$2:$M$8,H62,0),H62)</f>
        <v>18</v>
      </c>
      <c r="J62" s="7">
        <v>0</v>
      </c>
      <c r="K62" s="26">
        <v>0</v>
      </c>
      <c r="L62" t="b">
        <f>=E62=H62</f>
        <v>1</v>
      </c>
    </row>
    <row r="63" spans="1:12">
      <c r="A63" s="33" t="s"/>
      <c r="B63" s="22" t="s">
        <v>12</v>
      </c>
      <c r="C63" s="9" t="s">
        <v>22</v>
      </c>
      <c r="D63" s="4" t="s"/>
      <c r="E63" s="44" t="s">
        <v>13</v>
      </c>
      <c r="F63" s="45">
        <v>0</v>
      </c>
      <c r="G63" s="45">
        <v>0</v>
      </c>
      <c r="H63" s="8" t="s">
        <v>13</v>
      </c>
      <c r="I63" s="8" t="s">
        <f>=IFERROR(_xlfn.XLOOKUP(H63,$N$2:$N$8,$M$2:$M$8,H63,0),H63)</f>
        <v>12</v>
      </c>
      <c r="J63" s="7">
        <v>0</v>
      </c>
      <c r="K63" s="26">
        <v>0</v>
      </c>
      <c r="L63" t="b">
        <f>=E63=H63</f>
        <v>1</v>
      </c>
    </row>
    <row r="64" spans="1:12">
      <c r="A64" s="33" t="s"/>
      <c r="B64" s="22" t="s">
        <v>12</v>
      </c>
      <c r="C64" s="9" t="s">
        <v>24</v>
      </c>
      <c r="D64" s="4" t="s"/>
      <c r="E64" s="44" t="s">
        <v>17</v>
      </c>
      <c r="F64" s="45">
        <v>0</v>
      </c>
      <c r="G64" s="45">
        <v>0</v>
      </c>
      <c r="H64" s="8" t="s">
        <v>17</v>
      </c>
      <c r="I64" s="8" t="s">
        <f>=IFERROR(_xlfn.XLOOKUP(H64,$N$2:$N$8,$M$2:$M$8,H64,0),H64)</f>
        <v>16</v>
      </c>
      <c r="J64" s="7">
        <v>0</v>
      </c>
      <c r="K64" s="26">
        <v>0</v>
      </c>
      <c r="L64" t="b">
        <f>=E64=H64</f>
        <v>1</v>
      </c>
    </row>
    <row r="65" spans="1:12">
      <c r="A65" s="33" t="s"/>
      <c r="B65" s="22" t="s">
        <v>14</v>
      </c>
      <c r="C65" s="9" t="s">
        <v>12</v>
      </c>
      <c r="D65" s="4" t="s"/>
      <c r="E65" s="44" t="s">
        <v>13</v>
      </c>
      <c r="F65" s="45">
        <v>0</v>
      </c>
      <c r="G65" s="45">
        <v>0</v>
      </c>
      <c r="H65" s="8" t="s">
        <v>13</v>
      </c>
      <c r="I65" s="8" t="s">
        <f>=IFERROR(_xlfn.XLOOKUP(H65,$N$2:$N$8,$M$2:$M$8,H65,0),H65)</f>
        <v>12</v>
      </c>
      <c r="J65" s="7">
        <v>0</v>
      </c>
      <c r="K65" s="26">
        <v>0</v>
      </c>
      <c r="L65" t="b">
        <f>=E65=H65</f>
        <v>1</v>
      </c>
    </row>
    <row r="66" spans="1:12">
      <c r="A66" s="33" t="s"/>
      <c r="B66" s="7" t="s">
        <v>14</v>
      </c>
      <c r="C66" s="9" t="s">
        <v>14</v>
      </c>
      <c r="D66" s="4" t="s"/>
      <c r="E66" s="44" t="s">
        <v>15</v>
      </c>
      <c r="F66" s="45">
        <v>0</v>
      </c>
      <c r="G66" s="45">
        <v>0</v>
      </c>
      <c r="H66" s="8" t="s">
        <v>15</v>
      </c>
      <c r="I66" s="8" t="s">
        <f>=IFERROR(_xlfn.XLOOKUP(H66,$N$2:$N$8,$M$2:$M$8,H66,0),H66)</f>
        <v>14</v>
      </c>
      <c r="J66" s="7">
        <v>0</v>
      </c>
      <c r="K66" s="26">
        <v>0</v>
      </c>
      <c r="L66" t="b">
        <f>=E66=H66</f>
        <v>1</v>
      </c>
    </row>
    <row r="67" spans="1:12">
      <c r="A67" s="33" t="s"/>
      <c r="B67" s="22" t="s">
        <v>14</v>
      </c>
      <c r="C67" s="9" t="s">
        <v>16</v>
      </c>
      <c r="D67" s="4" t="s"/>
      <c r="E67" s="44" t="s">
        <v>17</v>
      </c>
      <c r="F67" s="45">
        <v>0</v>
      </c>
      <c r="G67" s="45">
        <v>0</v>
      </c>
      <c r="H67" s="8" t="s">
        <v>17</v>
      </c>
      <c r="I67" s="8" t="s">
        <f>=IFERROR(_xlfn.XLOOKUP(H67,$N$2:$N$8,$M$2:$M$8,H67,0),H67)</f>
        <v>16</v>
      </c>
      <c r="J67" s="7">
        <v>0</v>
      </c>
      <c r="K67" s="26">
        <v>0</v>
      </c>
      <c r="L67" t="b">
        <f>=E67=H67</f>
        <v>1</v>
      </c>
    </row>
    <row r="68" spans="1:12">
      <c r="A68" s="33" t="s"/>
      <c r="B68" s="22" t="s">
        <v>14</v>
      </c>
      <c r="C68" s="9" t="s">
        <v>18</v>
      </c>
      <c r="D68" s="4" t="s"/>
      <c r="E68" s="44" t="s">
        <v>19</v>
      </c>
      <c r="F68" s="45">
        <v>0</v>
      </c>
      <c r="G68" s="45">
        <v>0</v>
      </c>
      <c r="H68" s="8" t="s">
        <v>19</v>
      </c>
      <c r="I68" s="8" t="s">
        <f>=IFERROR(_xlfn.XLOOKUP(H68,$N$2:$N$8,$M$2:$M$8,H68,0),H68)</f>
        <v>18</v>
      </c>
      <c r="J68" s="7">
        <v>0</v>
      </c>
      <c r="K68" s="26">
        <v>0</v>
      </c>
      <c r="L68" t="b">
        <f>=E68=H68</f>
        <v>1</v>
      </c>
    </row>
    <row r="69" spans="1:12">
      <c r="A69" s="33" t="s"/>
      <c r="B69" s="22" t="s">
        <v>14</v>
      </c>
      <c r="C69" s="9" t="s">
        <v>20</v>
      </c>
      <c r="D69" s="4" t="s"/>
      <c r="E69" s="44" t="s">
        <v>19</v>
      </c>
      <c r="F69" s="45">
        <v>0</v>
      </c>
      <c r="G69" s="45">
        <v>0</v>
      </c>
      <c r="H69" s="8" t="s">
        <v>19</v>
      </c>
      <c r="I69" s="8" t="s">
        <f>=IFERROR(_xlfn.XLOOKUP(H69,$N$2:$N$8,$M$2:$M$8,H69,0),H69)</f>
        <v>18</v>
      </c>
      <c r="J69" s="7">
        <v>0</v>
      </c>
      <c r="K69" s="26">
        <v>0</v>
      </c>
      <c r="L69" t="b">
        <f>=E69=H69</f>
        <v>1</v>
      </c>
    </row>
    <row r="70" spans="1:12">
      <c r="A70" s="33" t="s"/>
      <c r="B70" s="22" t="s">
        <v>14</v>
      </c>
      <c r="C70" s="9" t="s">
        <v>22</v>
      </c>
      <c r="D70" s="4" t="s"/>
      <c r="E70" s="44" t="s">
        <v>15</v>
      </c>
      <c r="F70" s="45">
        <v>0</v>
      </c>
      <c r="G70" s="45">
        <v>0</v>
      </c>
      <c r="H70" s="8" t="s">
        <v>15</v>
      </c>
      <c r="I70" s="8" t="s">
        <f>=IFERROR(_xlfn.XLOOKUP(H70,$N$2:$N$8,$M$2:$M$8,H70,0),H70)</f>
        <v>14</v>
      </c>
      <c r="J70" s="7">
        <v>0</v>
      </c>
      <c r="K70" s="26">
        <v>0</v>
      </c>
      <c r="L70" t="b">
        <f>=E70=H70</f>
        <v>1</v>
      </c>
    </row>
    <row r="71" spans="1:12">
      <c r="A71" s="33" t="s"/>
      <c r="B71" s="22" t="s">
        <v>14</v>
      </c>
      <c r="C71" s="9" t="s">
        <v>24</v>
      </c>
      <c r="D71" s="4" t="s"/>
      <c r="E71" s="44" t="s">
        <v>17</v>
      </c>
      <c r="F71" s="45">
        <v>0</v>
      </c>
      <c r="G71" s="45">
        <v>0</v>
      </c>
      <c r="H71" s="8" t="s">
        <v>17</v>
      </c>
      <c r="I71" s="8" t="s">
        <f>=IFERROR(_xlfn.XLOOKUP(H71,$N$2:$N$8,$M$2:$M$8,H71,0),H71)</f>
        <v>16</v>
      </c>
      <c r="J71" s="7">
        <v>0</v>
      </c>
      <c r="K71" s="26">
        <v>0</v>
      </c>
      <c r="L71" t="b">
        <f>=E71=H71</f>
        <v>1</v>
      </c>
    </row>
    <row r="72" spans="1:12">
      <c r="A72" s="33" t="s"/>
      <c r="B72" s="22" t="s">
        <v>16</v>
      </c>
      <c r="C72" s="9" t="s">
        <v>12</v>
      </c>
      <c r="D72" s="4" t="s"/>
      <c r="E72" s="44" t="s">
        <v>17</v>
      </c>
      <c r="F72" s="45">
        <v>0</v>
      </c>
      <c r="G72" s="45">
        <v>0</v>
      </c>
      <c r="H72" s="8" t="s">
        <v>17</v>
      </c>
      <c r="I72" s="8" t="s">
        <f>=IFERROR(_xlfn.XLOOKUP(H72,$N$2:$N$8,$M$2:$M$8,H72,0),H72)</f>
        <v>16</v>
      </c>
      <c r="J72" s="7">
        <v>0</v>
      </c>
      <c r="K72" s="26">
        <v>0</v>
      </c>
      <c r="L72" t="b">
        <f>=E72=H72</f>
        <v>1</v>
      </c>
    </row>
    <row r="73" spans="1:12">
      <c r="A73" s="33" t="s"/>
      <c r="B73" s="22" t="s">
        <v>16</v>
      </c>
      <c r="C73" s="9" t="s">
        <v>14</v>
      </c>
      <c r="D73" s="4" t="s"/>
      <c r="E73" s="44" t="s">
        <v>17</v>
      </c>
      <c r="F73" s="45">
        <v>0</v>
      </c>
      <c r="G73" s="45">
        <v>0</v>
      </c>
      <c r="H73" s="8" t="s">
        <v>17</v>
      </c>
      <c r="I73" s="8" t="s">
        <f>=IFERROR(_xlfn.XLOOKUP(H73,$N$2:$N$8,$M$2:$M$8,H73,0),H73)</f>
        <v>16</v>
      </c>
      <c r="J73" s="7">
        <v>0</v>
      </c>
      <c r="K73" s="26">
        <v>0</v>
      </c>
      <c r="L73" t="b">
        <f>=E73=H73</f>
        <v>1</v>
      </c>
    </row>
    <row r="74" spans="1:12">
      <c r="A74" s="33" t="s"/>
      <c r="B74" s="22" t="s">
        <v>16</v>
      </c>
      <c r="C74" s="9" t="s">
        <v>16</v>
      </c>
      <c r="D74" s="4" t="s"/>
      <c r="E74" s="44" t="s">
        <v>17</v>
      </c>
      <c r="F74" s="45">
        <v>0</v>
      </c>
      <c r="G74" s="45">
        <v>0</v>
      </c>
      <c r="H74" s="8" t="s">
        <v>17</v>
      </c>
      <c r="I74" s="8" t="s">
        <f>=IFERROR(_xlfn.XLOOKUP(H74,$N$2:$N$8,$M$2:$M$8,H74,0),H74)</f>
        <v>16</v>
      </c>
      <c r="J74" s="7">
        <v>0</v>
      </c>
      <c r="K74" s="26">
        <v>0</v>
      </c>
      <c r="L74" t="b">
        <f>=E74=H74</f>
        <v>1</v>
      </c>
    </row>
    <row r="75" spans="1:12">
      <c r="A75" s="33" t="s"/>
      <c r="B75" s="22" t="s">
        <v>16</v>
      </c>
      <c r="C75" s="9" t="s">
        <v>18</v>
      </c>
      <c r="D75" s="4" t="s"/>
      <c r="E75" s="44" t="s">
        <v>17</v>
      </c>
      <c r="F75" s="45">
        <v>0</v>
      </c>
      <c r="G75" s="45">
        <v>0</v>
      </c>
      <c r="H75" s="8" t="s">
        <v>17</v>
      </c>
      <c r="I75" s="8" t="s">
        <f>=IFERROR(_xlfn.XLOOKUP(H75,$N$2:$N$8,$M$2:$M$8,H75,0),H75)</f>
        <v>16</v>
      </c>
      <c r="J75" s="7">
        <v>0</v>
      </c>
      <c r="K75" s="26">
        <v>0</v>
      </c>
      <c r="L75" t="b">
        <f>=E75=H75</f>
        <v>1</v>
      </c>
    </row>
    <row r="76" spans="1:12">
      <c r="A76" s="33" t="s"/>
      <c r="B76" s="22" t="s">
        <v>16</v>
      </c>
      <c r="C76" s="9" t="s">
        <v>20</v>
      </c>
      <c r="D76" s="4" t="s"/>
      <c r="E76" s="44" t="s">
        <v>17</v>
      </c>
      <c r="F76" s="45">
        <v>0</v>
      </c>
      <c r="G76" s="45">
        <v>0</v>
      </c>
      <c r="H76" s="8" t="s">
        <v>17</v>
      </c>
      <c r="I76" s="8" t="s">
        <f>=IFERROR(_xlfn.XLOOKUP(H76,$N$2:$N$8,$M$2:$M$8,H76,0),H76)</f>
        <v>16</v>
      </c>
      <c r="J76" s="7">
        <v>0</v>
      </c>
      <c r="K76" s="26">
        <v>0</v>
      </c>
      <c r="L76" t="b">
        <f>=E76=H76</f>
        <v>1</v>
      </c>
    </row>
    <row r="77" spans="1:12">
      <c r="A77" s="33" t="s"/>
      <c r="B77" s="22" t="s">
        <v>16</v>
      </c>
      <c r="C77" s="9" t="s">
        <v>22</v>
      </c>
      <c r="D77" s="4" t="s"/>
      <c r="E77" s="44" t="s">
        <v>17</v>
      </c>
      <c r="F77" s="45">
        <v>0</v>
      </c>
      <c r="G77" s="45">
        <v>0</v>
      </c>
      <c r="H77" s="8" t="s">
        <v>17</v>
      </c>
      <c r="I77" s="8" t="s">
        <f>=IFERROR(_xlfn.XLOOKUP(H77,$N$2:$N$8,$M$2:$M$8,H77,0),H77)</f>
        <v>16</v>
      </c>
      <c r="J77" s="7">
        <v>0</v>
      </c>
      <c r="K77" s="26">
        <v>0</v>
      </c>
      <c r="L77" t="b">
        <f>=E77=H77</f>
        <v>1</v>
      </c>
    </row>
    <row r="78" spans="1:12">
      <c r="A78" s="33" t="s"/>
      <c r="B78" s="22" t="s">
        <v>16</v>
      </c>
      <c r="C78" s="9" t="s">
        <v>24</v>
      </c>
      <c r="D78" s="4" t="s"/>
      <c r="E78" s="44" t="s">
        <v>17</v>
      </c>
      <c r="F78" s="45">
        <v>0</v>
      </c>
      <c r="G78" s="45">
        <v>0</v>
      </c>
      <c r="H78" s="8" t="s">
        <v>17</v>
      </c>
      <c r="I78" s="8" t="s">
        <f>=IFERROR(_xlfn.XLOOKUP(H78,$N$2:$N$8,$M$2:$M$8,H78,0),H78)</f>
        <v>16</v>
      </c>
      <c r="J78" s="7">
        <v>0</v>
      </c>
      <c r="K78" s="26">
        <v>0</v>
      </c>
      <c r="L78" t="b">
        <f>=E78=H78</f>
        <v>1</v>
      </c>
    </row>
    <row r="79" spans="1:12">
      <c r="A79" s="33" t="s"/>
      <c r="B79" s="22" t="s">
        <v>18</v>
      </c>
      <c r="C79" s="9" t="s">
        <v>12</v>
      </c>
      <c r="D79" s="4" t="s"/>
      <c r="E79" s="44" t="s">
        <v>19</v>
      </c>
      <c r="F79" s="45">
        <v>0</v>
      </c>
      <c r="G79" s="45">
        <v>0</v>
      </c>
      <c r="H79" s="8" t="s">
        <v>19</v>
      </c>
      <c r="I79" s="8" t="s">
        <f>=IFERROR(_xlfn.XLOOKUP(H79,$N$2:$N$8,$M$2:$M$8,H79,0),H79)</f>
        <v>18</v>
      </c>
      <c r="J79" s="7">
        <v>0</v>
      </c>
      <c r="K79" s="26">
        <v>0</v>
      </c>
      <c r="L79" t="b">
        <f>=E79=H79</f>
        <v>1</v>
      </c>
    </row>
    <row r="80" spans="1:12">
      <c r="A80" s="33" t="s"/>
      <c r="B80" s="22" t="s">
        <v>18</v>
      </c>
      <c r="C80" s="9" t="s">
        <v>14</v>
      </c>
      <c r="D80" s="4" t="s"/>
      <c r="E80" s="44" t="s">
        <v>19</v>
      </c>
      <c r="F80" s="45">
        <v>0</v>
      </c>
      <c r="G80" s="45">
        <v>0</v>
      </c>
      <c r="H80" s="8" t="s">
        <v>19</v>
      </c>
      <c r="I80" s="8" t="s">
        <f>=IFERROR(_xlfn.XLOOKUP(H80,$N$2:$N$8,$M$2:$M$8,H80,0),H80)</f>
        <v>18</v>
      </c>
      <c r="J80" s="7">
        <v>0</v>
      </c>
      <c r="K80" s="26">
        <v>0</v>
      </c>
      <c r="L80" t="b">
        <f>=E80=H80</f>
        <v>1</v>
      </c>
    </row>
    <row r="81" spans="1:12">
      <c r="A81" s="33" t="s"/>
      <c r="B81" s="22" t="s">
        <v>18</v>
      </c>
      <c r="C81" s="9" t="s">
        <v>16</v>
      </c>
      <c r="D81" s="4" t="s"/>
      <c r="E81" s="44" t="s">
        <v>17</v>
      </c>
      <c r="F81" s="45">
        <v>0</v>
      </c>
      <c r="G81" s="45">
        <v>0</v>
      </c>
      <c r="H81" s="8" t="s">
        <v>17</v>
      </c>
      <c r="I81" s="8" t="s">
        <f>=IFERROR(_xlfn.XLOOKUP(H81,$N$2:$N$8,$M$2:$M$8,H81,0),H81)</f>
        <v>16</v>
      </c>
      <c r="J81" s="7">
        <v>0</v>
      </c>
      <c r="K81" s="26">
        <v>0</v>
      </c>
      <c r="L81" t="b">
        <f>=E81=H81</f>
        <v>1</v>
      </c>
    </row>
    <row r="82" spans="1:12">
      <c r="A82" s="33" t="s"/>
      <c r="B82" s="22" t="s">
        <v>18</v>
      </c>
      <c r="C82" s="9" t="s">
        <v>18</v>
      </c>
      <c r="D82" s="4" t="s"/>
      <c r="E82" s="44" t="s">
        <v>19</v>
      </c>
      <c r="F82" s="45">
        <v>0</v>
      </c>
      <c r="G82" s="45">
        <v>0</v>
      </c>
      <c r="H82" s="8" t="s">
        <v>19</v>
      </c>
      <c r="I82" s="8" t="s">
        <f>=IFERROR(_xlfn.XLOOKUP(H82,$N$2:$N$8,$M$2:$M$8,H82,0),H82)</f>
        <v>18</v>
      </c>
      <c r="J82" s="7">
        <v>0</v>
      </c>
      <c r="K82" s="26">
        <v>0</v>
      </c>
      <c r="L82" t="b">
        <f>=E82=H82</f>
        <v>1</v>
      </c>
    </row>
    <row r="83" spans="1:12">
      <c r="A83" s="33" t="s"/>
      <c r="B83" s="22" t="s">
        <v>18</v>
      </c>
      <c r="C83" s="9" t="s">
        <v>20</v>
      </c>
      <c r="D83" s="4" t="s"/>
      <c r="E83" s="44" t="s">
        <v>19</v>
      </c>
      <c r="F83" s="45">
        <v>0</v>
      </c>
      <c r="G83" s="45">
        <v>0</v>
      </c>
      <c r="H83" s="8" t="s">
        <v>19</v>
      </c>
      <c r="I83" s="8" t="s">
        <f>=IFERROR(_xlfn.XLOOKUP(H83,$N$2:$N$8,$M$2:$M$8,H83,0),H83)</f>
        <v>18</v>
      </c>
      <c r="J83" s="7">
        <v>0</v>
      </c>
      <c r="K83" s="26">
        <v>0</v>
      </c>
      <c r="L83" t="b">
        <f>=E83=H83</f>
        <v>1</v>
      </c>
    </row>
    <row r="84" spans="1:12">
      <c r="A84" s="33" t="s"/>
      <c r="B84" s="22" t="s">
        <v>18</v>
      </c>
      <c r="C84" s="9" t="s">
        <v>22</v>
      </c>
      <c r="D84" s="4" t="s"/>
      <c r="E84" s="44" t="s">
        <v>19</v>
      </c>
      <c r="F84" s="45">
        <v>0</v>
      </c>
      <c r="G84" s="45">
        <v>0</v>
      </c>
      <c r="H84" s="8" t="s">
        <v>19</v>
      </c>
      <c r="I84" s="8" t="s">
        <f>=IFERROR(_xlfn.XLOOKUP(H84,$N$2:$N$8,$M$2:$M$8,H84,0),H84)</f>
        <v>18</v>
      </c>
      <c r="J84" s="7">
        <v>0</v>
      </c>
      <c r="K84" s="26">
        <v>0</v>
      </c>
      <c r="L84" t="b">
        <f>=E84=H84</f>
        <v>1</v>
      </c>
    </row>
    <row r="85" spans="1:12">
      <c r="A85" s="33" t="s"/>
      <c r="B85" s="22" t="s">
        <v>18</v>
      </c>
      <c r="C85" s="9" t="s">
        <v>24</v>
      </c>
      <c r="D85" s="4" t="s"/>
      <c r="E85" s="44" t="s">
        <v>17</v>
      </c>
      <c r="F85" s="45">
        <v>0</v>
      </c>
      <c r="G85" s="45">
        <v>0</v>
      </c>
      <c r="H85" s="8" t="s">
        <v>17</v>
      </c>
      <c r="I85" s="8" t="s">
        <f>=IFERROR(_xlfn.XLOOKUP(H85,$N$2:$N$8,$M$2:$M$8,H85,0),H85)</f>
        <v>16</v>
      </c>
      <c r="J85" s="7">
        <v>0</v>
      </c>
      <c r="K85" s="26">
        <v>0</v>
      </c>
      <c r="L85" t="b">
        <f>=E85=H85</f>
        <v>1</v>
      </c>
    </row>
    <row r="86" spans="1:12">
      <c r="A86" s="33" t="s"/>
      <c r="B86" s="22" t="s">
        <v>20</v>
      </c>
      <c r="C86" s="9" t="s">
        <v>12</v>
      </c>
      <c r="D86" s="4" t="s"/>
      <c r="E86" s="44" t="s">
        <v>19</v>
      </c>
      <c r="F86" s="45">
        <v>0</v>
      </c>
      <c r="G86" s="45">
        <v>0</v>
      </c>
      <c r="H86" s="8" t="s">
        <v>19</v>
      </c>
      <c r="I86" s="8" t="s">
        <f>=IFERROR(_xlfn.XLOOKUP(H86,$N$2:$N$8,$M$2:$M$8,H86,0),H86)</f>
        <v>18</v>
      </c>
      <c r="J86" s="7">
        <v>0</v>
      </c>
      <c r="K86" s="26">
        <v>0</v>
      </c>
      <c r="L86" t="b">
        <f>=E86=H86</f>
        <v>1</v>
      </c>
    </row>
    <row r="87" spans="1:12">
      <c r="A87" s="33" t="s"/>
      <c r="B87" s="22" t="s">
        <v>20</v>
      </c>
      <c r="C87" s="9" t="s">
        <v>14</v>
      </c>
      <c r="D87" s="4" t="s"/>
      <c r="E87" s="44" t="s">
        <v>19</v>
      </c>
      <c r="F87" s="45">
        <v>0</v>
      </c>
      <c r="G87" s="45">
        <v>0</v>
      </c>
      <c r="H87" s="8" t="s">
        <v>19</v>
      </c>
      <c r="I87" s="8" t="s">
        <f>=IFERROR(_xlfn.XLOOKUP(H87,$N$2:$N$8,$M$2:$M$8,H87,0),H87)</f>
        <v>18</v>
      </c>
      <c r="J87" s="7">
        <v>0</v>
      </c>
      <c r="K87" s="26">
        <v>0</v>
      </c>
      <c r="L87" t="b">
        <f>=E87=H87</f>
        <v>1</v>
      </c>
    </row>
    <row r="88" spans="1:12">
      <c r="A88" s="33" t="s"/>
      <c r="B88" s="22" t="s">
        <v>20</v>
      </c>
      <c r="C88" s="9" t="s">
        <v>16</v>
      </c>
      <c r="D88" s="4" t="s"/>
      <c r="E88" s="44" t="s">
        <v>17</v>
      </c>
      <c r="F88" s="45">
        <v>0</v>
      </c>
      <c r="G88" s="45">
        <v>0</v>
      </c>
      <c r="H88" s="8" t="s">
        <v>17</v>
      </c>
      <c r="I88" s="8" t="s">
        <f>=IFERROR(_xlfn.XLOOKUP(H88,$N$2:$N$8,$M$2:$M$8,H88,0),H88)</f>
        <v>16</v>
      </c>
      <c r="J88" s="7">
        <v>0</v>
      </c>
      <c r="K88" s="26">
        <v>0</v>
      </c>
      <c r="L88" t="b">
        <f>=E88=H88</f>
        <v>1</v>
      </c>
    </row>
    <row r="89" spans="1:12">
      <c r="A89" s="33" t="s"/>
      <c r="B89" s="22" t="s">
        <v>20</v>
      </c>
      <c r="C89" s="9" t="s">
        <v>18</v>
      </c>
      <c r="D89" s="4" t="s"/>
      <c r="E89" s="44" t="s">
        <v>19</v>
      </c>
      <c r="F89" s="45">
        <v>0</v>
      </c>
      <c r="G89" s="45">
        <v>0</v>
      </c>
      <c r="H89" s="8" t="s">
        <v>19</v>
      </c>
      <c r="I89" s="8" t="s">
        <f>=IFERROR(_xlfn.XLOOKUP(H89,$N$2:$N$8,$M$2:$M$8,H89,0),H89)</f>
        <v>18</v>
      </c>
      <c r="J89" s="7">
        <v>0</v>
      </c>
      <c r="K89" s="26">
        <v>0</v>
      </c>
      <c r="L89" t="b">
        <f>=E89=H89</f>
        <v>1</v>
      </c>
    </row>
    <row r="90" spans="1:12">
      <c r="A90" s="33" t="s"/>
      <c r="B90" s="22" t="s">
        <v>20</v>
      </c>
      <c r="C90" s="9" t="s">
        <v>20</v>
      </c>
      <c r="D90" s="4" t="s"/>
      <c r="E90" s="44" t="s">
        <v>19</v>
      </c>
      <c r="F90" s="45">
        <v>0</v>
      </c>
      <c r="G90" s="45">
        <v>0</v>
      </c>
      <c r="H90" s="8" t="s">
        <v>19</v>
      </c>
      <c r="I90" s="8" t="s">
        <f>=IFERROR(_xlfn.XLOOKUP(H90,$N$2:$N$8,$M$2:$M$8,H90,0),H90)</f>
        <v>18</v>
      </c>
      <c r="J90" s="7">
        <v>0</v>
      </c>
      <c r="K90" s="26">
        <v>0</v>
      </c>
      <c r="L90" t="b">
        <f>=E90=H90</f>
        <v>1</v>
      </c>
    </row>
    <row r="91" spans="1:12">
      <c r="A91" s="33" t="s"/>
      <c r="B91" s="22" t="s">
        <v>20</v>
      </c>
      <c r="C91" s="9" t="s">
        <v>22</v>
      </c>
      <c r="D91" s="4" t="s"/>
      <c r="E91" s="44" t="s">
        <v>19</v>
      </c>
      <c r="F91" s="45">
        <v>0</v>
      </c>
      <c r="G91" s="45">
        <v>0</v>
      </c>
      <c r="H91" s="8" t="s">
        <v>19</v>
      </c>
      <c r="I91" s="8" t="s">
        <f>=IFERROR(_xlfn.XLOOKUP(H91,$N$2:$N$8,$M$2:$M$8,H91,0),H91)</f>
        <v>18</v>
      </c>
      <c r="J91" s="7">
        <v>0</v>
      </c>
      <c r="K91" s="26">
        <v>0</v>
      </c>
      <c r="L91" t="b">
        <f>=E91=H91</f>
        <v>1</v>
      </c>
    </row>
    <row r="92" spans="1:12">
      <c r="A92" s="33" t="s"/>
      <c r="B92" s="22" t="s">
        <v>20</v>
      </c>
      <c r="C92" s="9" t="s">
        <v>24</v>
      </c>
      <c r="D92" s="4" t="s"/>
      <c r="E92" s="44" t="s">
        <v>17</v>
      </c>
      <c r="F92" s="45">
        <v>0</v>
      </c>
      <c r="G92" s="45">
        <v>0</v>
      </c>
      <c r="H92" s="8" t="s">
        <v>17</v>
      </c>
      <c r="I92" s="8" t="s">
        <f>=IFERROR(_xlfn.XLOOKUP(H92,$N$2:$N$8,$M$2:$M$8,H92,0),H92)</f>
        <v>16</v>
      </c>
      <c r="J92" s="7">
        <v>0</v>
      </c>
      <c r="K92" s="26">
        <v>0</v>
      </c>
      <c r="L92" t="b">
        <f>=E92=H92</f>
        <v>1</v>
      </c>
    </row>
    <row r="93" spans="1:12">
      <c r="A93" s="33" t="s"/>
      <c r="B93" s="22" t="s">
        <v>22</v>
      </c>
      <c r="C93" s="9" t="s">
        <v>12</v>
      </c>
      <c r="D93" s="4" t="s"/>
      <c r="E93" s="44" t="s">
        <v>13</v>
      </c>
      <c r="F93" s="45">
        <v>0</v>
      </c>
      <c r="G93" s="45">
        <v>0</v>
      </c>
      <c r="H93" s="8" t="s">
        <v>13</v>
      </c>
      <c r="I93" s="8" t="s">
        <f>=IFERROR(_xlfn.XLOOKUP(H93,$N$2:$N$8,$M$2:$M$8,H93,0),H93)</f>
        <v>12</v>
      </c>
      <c r="J93" s="7">
        <v>0</v>
      </c>
      <c r="K93" s="26">
        <v>0</v>
      </c>
      <c r="L93" t="b">
        <f>=E93=H93</f>
        <v>1</v>
      </c>
    </row>
    <row r="94" spans="1:12">
      <c r="A94" s="33" t="s"/>
      <c r="B94" s="22" t="s">
        <v>22</v>
      </c>
      <c r="C94" s="9" t="s">
        <v>14</v>
      </c>
      <c r="D94" s="4" t="s"/>
      <c r="E94" s="44" t="s">
        <v>15</v>
      </c>
      <c r="F94" s="45">
        <v>0</v>
      </c>
      <c r="G94" s="45">
        <v>0</v>
      </c>
      <c r="H94" s="8" t="s">
        <v>15</v>
      </c>
      <c r="I94" s="8" t="s">
        <f>=IFERROR(_xlfn.XLOOKUP(H94,$N$2:$N$8,$M$2:$M$8,H94,0),H94)</f>
        <v>14</v>
      </c>
      <c r="J94" s="7">
        <v>0</v>
      </c>
      <c r="K94" s="26">
        <v>0</v>
      </c>
      <c r="L94" t="b">
        <f>=E94=H94</f>
        <v>1</v>
      </c>
    </row>
    <row r="95" spans="1:12">
      <c r="A95" s="33" t="s"/>
      <c r="B95" s="22" t="s">
        <v>22</v>
      </c>
      <c r="C95" s="9" t="s">
        <v>16</v>
      </c>
      <c r="D95" s="4" t="s"/>
      <c r="E95" s="44" t="s">
        <v>17</v>
      </c>
      <c r="F95" s="45">
        <v>0</v>
      </c>
      <c r="G95" s="45">
        <v>0</v>
      </c>
      <c r="H95" s="8" t="s">
        <v>17</v>
      </c>
      <c r="I95" s="8" t="s">
        <f>=IFERROR(_xlfn.XLOOKUP(H95,$N$2:$N$8,$M$2:$M$8,H95,0),H95)</f>
        <v>16</v>
      </c>
      <c r="J95" s="7">
        <v>0</v>
      </c>
      <c r="K95" s="26">
        <v>0</v>
      </c>
      <c r="L95" t="b">
        <f>=E95=H95</f>
        <v>1</v>
      </c>
    </row>
    <row r="96" spans="1:12">
      <c r="A96" s="33" t="s"/>
      <c r="B96" s="22" t="s">
        <v>22</v>
      </c>
      <c r="C96" s="9" t="s">
        <v>18</v>
      </c>
      <c r="D96" s="4" t="s"/>
      <c r="E96" s="44" t="s">
        <v>19</v>
      </c>
      <c r="F96" s="45">
        <v>0</v>
      </c>
      <c r="G96" s="45">
        <v>0</v>
      </c>
      <c r="H96" s="8" t="s">
        <v>19</v>
      </c>
      <c r="I96" s="8" t="s">
        <f>=IFERROR(_xlfn.XLOOKUP(H96,$N$2:$N$8,$M$2:$M$8,H96,0),H96)</f>
        <v>18</v>
      </c>
      <c r="J96" s="7">
        <v>0</v>
      </c>
      <c r="K96" s="26">
        <v>0</v>
      </c>
      <c r="L96" t="b">
        <f>=E96=H96</f>
        <v>1</v>
      </c>
    </row>
    <row r="97" spans="1:12">
      <c r="A97" s="33" t="s"/>
      <c r="B97" s="22" t="s">
        <v>22</v>
      </c>
      <c r="C97" s="9" t="s">
        <v>20</v>
      </c>
      <c r="D97" s="4" t="s"/>
      <c r="E97" s="44" t="s">
        <v>19</v>
      </c>
      <c r="F97" s="45">
        <v>0</v>
      </c>
      <c r="G97" s="45">
        <v>0</v>
      </c>
      <c r="H97" s="8" t="s">
        <v>19</v>
      </c>
      <c r="I97" s="8" t="s">
        <f>=IFERROR(_xlfn.XLOOKUP(H97,$N$2:$N$8,$M$2:$M$8,H97,0),H97)</f>
        <v>18</v>
      </c>
      <c r="J97" s="7">
        <v>0</v>
      </c>
      <c r="K97" s="26">
        <v>0</v>
      </c>
      <c r="L97" t="b">
        <f>=E97=H97</f>
        <v>1</v>
      </c>
    </row>
    <row r="98" spans="1:12">
      <c r="A98" s="33" t="s"/>
      <c r="B98" s="22" t="s">
        <v>22</v>
      </c>
      <c r="C98" s="9" t="s">
        <v>22</v>
      </c>
      <c r="D98" s="4" t="s"/>
      <c r="E98" s="44" t="s">
        <v>15</v>
      </c>
      <c r="F98" s="45">
        <v>0</v>
      </c>
      <c r="G98" s="45">
        <v>0</v>
      </c>
      <c r="H98" s="8" t="s">
        <v>15</v>
      </c>
      <c r="I98" s="8" t="s">
        <f>=IFERROR(_xlfn.XLOOKUP(H98,$N$2:$N$8,$M$2:$M$8,H98,0),H98)</f>
        <v>14</v>
      </c>
      <c r="J98" s="7">
        <v>0</v>
      </c>
      <c r="K98" s="26">
        <v>0</v>
      </c>
      <c r="L98" t="b">
        <f>=E98=H98</f>
        <v>1</v>
      </c>
    </row>
    <row r="99" spans="1:12">
      <c r="A99" s="33" t="s"/>
      <c r="B99" s="22" t="s">
        <v>22</v>
      </c>
      <c r="C99" s="9" t="s">
        <v>24</v>
      </c>
      <c r="D99" s="4" t="s"/>
      <c r="E99" s="44" t="s">
        <v>17</v>
      </c>
      <c r="F99" s="45">
        <v>0</v>
      </c>
      <c r="G99" s="45">
        <v>0</v>
      </c>
      <c r="H99" s="8" t="s">
        <v>17</v>
      </c>
      <c r="I99" s="8" t="s">
        <f>=IFERROR(_xlfn.XLOOKUP(H99,$N$2:$N$8,$M$2:$M$8,H99,0),H99)</f>
        <v>16</v>
      </c>
      <c r="J99" s="7">
        <v>0</v>
      </c>
      <c r="K99" s="26">
        <v>0</v>
      </c>
      <c r="L99" t="b">
        <f>=E99=H99</f>
        <v>1</v>
      </c>
    </row>
    <row r="100" spans="1:12">
      <c r="A100" s="33" t="s"/>
      <c r="B100" s="22" t="s">
        <v>24</v>
      </c>
      <c r="C100" s="9" t="s">
        <v>12</v>
      </c>
      <c r="D100" s="4" t="s"/>
      <c r="E100" s="44" t="s">
        <v>17</v>
      </c>
      <c r="F100" s="45">
        <v>0</v>
      </c>
      <c r="G100" s="45">
        <v>0</v>
      </c>
      <c r="H100" s="8" t="s">
        <v>17</v>
      </c>
      <c r="I100" s="8" t="s">
        <f>=IFERROR(_xlfn.XLOOKUP(H100,$N$2:$N$8,$M$2:$M$8,H100,0),H100)</f>
        <v>16</v>
      </c>
      <c r="J100" s="7">
        <v>0</v>
      </c>
      <c r="K100" s="26">
        <v>0</v>
      </c>
      <c r="L100" t="b">
        <f>=E100=H100</f>
        <v>1</v>
      </c>
    </row>
    <row r="101" spans="1:12">
      <c r="A101" s="33" t="s"/>
      <c r="B101" s="22" t="s">
        <v>24</v>
      </c>
      <c r="C101" s="9" t="s">
        <v>14</v>
      </c>
      <c r="D101" s="4" t="s"/>
      <c r="E101" s="44" t="s">
        <v>17</v>
      </c>
      <c r="F101" s="45">
        <v>0</v>
      </c>
      <c r="G101" s="45">
        <v>0</v>
      </c>
      <c r="H101" s="8" t="s">
        <v>17</v>
      </c>
      <c r="I101" s="8" t="s">
        <f>=IFERROR(_xlfn.XLOOKUP(H101,$N$2:$N$8,$M$2:$M$8,H101,0),H101)</f>
        <v>16</v>
      </c>
      <c r="J101" s="7">
        <v>0</v>
      </c>
      <c r="K101" s="26">
        <v>0</v>
      </c>
      <c r="L101" t="b">
        <f>=E101=H101</f>
        <v>1</v>
      </c>
    </row>
    <row r="102" spans="1:12">
      <c r="A102" s="33" t="s"/>
      <c r="B102" s="22" t="s">
        <v>24</v>
      </c>
      <c r="C102" s="9" t="s">
        <v>16</v>
      </c>
      <c r="D102" s="4" t="s"/>
      <c r="E102" s="44" t="s">
        <v>17</v>
      </c>
      <c r="F102" s="45">
        <v>0</v>
      </c>
      <c r="G102" s="45">
        <v>0</v>
      </c>
      <c r="H102" s="8" t="s">
        <v>17</v>
      </c>
      <c r="I102" s="8" t="s">
        <f>=IFERROR(_xlfn.XLOOKUP(H102,$N$2:$N$8,$M$2:$M$8,H102,0),H102)</f>
        <v>16</v>
      </c>
      <c r="J102" s="7">
        <v>0</v>
      </c>
      <c r="K102" s="26">
        <v>0</v>
      </c>
      <c r="L102" t="b">
        <f>=E102=H102</f>
        <v>1</v>
      </c>
    </row>
    <row r="103" spans="1:12">
      <c r="A103" s="33" t="s"/>
      <c r="B103" s="22" t="s">
        <v>24</v>
      </c>
      <c r="C103" s="9" t="s">
        <v>18</v>
      </c>
      <c r="D103" s="4" t="s"/>
      <c r="E103" s="44" t="s">
        <v>17</v>
      </c>
      <c r="F103" s="45">
        <v>0</v>
      </c>
      <c r="G103" s="45">
        <v>0</v>
      </c>
      <c r="H103" s="8" t="s">
        <v>17</v>
      </c>
      <c r="I103" s="8" t="s">
        <f>=IFERROR(_xlfn.XLOOKUP(H103,$N$2:$N$8,$M$2:$M$8,H103,0),H103)</f>
        <v>16</v>
      </c>
      <c r="J103" s="7">
        <v>0</v>
      </c>
      <c r="K103" s="26">
        <v>0</v>
      </c>
      <c r="L103" t="b">
        <f>=E103=H103</f>
        <v>1</v>
      </c>
    </row>
    <row r="104" spans="1:12">
      <c r="A104" s="27" t="s"/>
      <c r="B104" s="22" t="s">
        <v>24</v>
      </c>
      <c r="C104" s="9" t="s">
        <v>20</v>
      </c>
      <c r="D104" s="23" t="s"/>
      <c r="E104" s="46" t="s">
        <v>17</v>
      </c>
      <c r="F104" s="47">
        <v>0</v>
      </c>
      <c r="G104" s="47">
        <v>0</v>
      </c>
      <c r="H104" s="25" t="s">
        <v>17</v>
      </c>
      <c r="I104" s="8" t="s">
        <f>=IFERROR(_xlfn.XLOOKUP(H104,$N$2:$N$8,$M$2:$M$8,H104,0),H104)</f>
        <v>16</v>
      </c>
      <c r="J104" s="32">
        <v>0</v>
      </c>
      <c r="K104" s="26">
        <v>0</v>
      </c>
      <c r="L104" t="b">
        <f>=E104=H104</f>
        <v>1</v>
      </c>
    </row>
    <row r="105" spans="1:12">
      <c r="A105" s="21" t="s"/>
      <c r="B105" s="22" t="s">
        <v>24</v>
      </c>
      <c r="C105" s="9" t="s">
        <v>22</v>
      </c>
      <c r="D105" s="23" t="s"/>
      <c r="E105" s="47" t="s">
        <v>17</v>
      </c>
      <c r="F105" s="47">
        <v>0</v>
      </c>
      <c r="G105" s="47">
        <v>0</v>
      </c>
      <c r="H105" s="8" t="s">
        <v>17</v>
      </c>
      <c r="I105" s="8" t="s">
        <f>=IFERROR(_xlfn.XLOOKUP(H105,$N$2:$N$8,$M$2:$M$8,H105,0),H105)</f>
        <v>16</v>
      </c>
      <c r="J105" s="7">
        <v>0</v>
      </c>
      <c r="K105" s="26">
        <v>0</v>
      </c>
      <c r="L105" t="b">
        <f>=E105=H105</f>
        <v>1</v>
      </c>
    </row>
    <row r="106" spans="1:12">
      <c r="A106" s="39" t="s"/>
      <c r="B106" s="22" t="s">
        <v>24</v>
      </c>
      <c r="C106" s="9" t="s">
        <v>24</v>
      </c>
      <c r="D106" s="23" t="s"/>
      <c r="E106" s="46" t="s">
        <v>17</v>
      </c>
      <c r="F106" s="47">
        <v>0</v>
      </c>
      <c r="G106" s="47">
        <v>0</v>
      </c>
      <c r="H106" s="25" t="s">
        <v>17</v>
      </c>
      <c r="I106" s="8" t="s">
        <f>=IFERROR(_xlfn.XLOOKUP(H106,$N$2:$N$8,$M$2:$M$8,H106,0),H106)</f>
        <v>16</v>
      </c>
      <c r="J106" s="32">
        <v>0</v>
      </c>
      <c r="K106" s="26">
        <v>0</v>
      </c>
      <c r="L106" t="b">
        <f>=E106=H106</f>
        <v>1</v>
      </c>
    </row>
    <row r="107" spans="1:12">
      <c r="A107" s="48" t="s">
        <v>28</v>
      </c>
      <c r="B107" s="12" t="s">
        <v>12</v>
      </c>
      <c r="C107" s="13" t="s">
        <v>12</v>
      </c>
      <c r="D107" s="15" t="s"/>
      <c r="E107" s="49" t="s">
        <v>13</v>
      </c>
      <c r="F107" s="43">
        <v>0</v>
      </c>
      <c r="G107" s="43">
        <v>0</v>
      </c>
      <c r="H107" s="16" t="s">
        <v>13</v>
      </c>
      <c r="I107" s="16" t="s">
        <f>=IFERROR(_xlfn.XLOOKUP(H107,$N$2:$N$8,$M$2:$M$8,H107,0),H107)</f>
        <v>12</v>
      </c>
      <c r="J107" s="18">
        <v>0</v>
      </c>
      <c r="K107" s="19">
        <v>0</v>
      </c>
      <c r="L107" s="8" t="b">
        <f>=E107=H107</f>
        <v>1</v>
      </c>
    </row>
    <row r="108" spans="1:12">
      <c r="A108" s="50" t="s"/>
      <c r="B108" s="22" t="s">
        <v>12</v>
      </c>
      <c r="C108" s="9" t="s">
        <v>14</v>
      </c>
      <c r="D108" s="51" t="s"/>
      <c r="E108" s="52" t="s">
        <v>13</v>
      </c>
      <c r="F108" s="45">
        <v>0</v>
      </c>
      <c r="G108" s="45">
        <v>0</v>
      </c>
      <c r="H108" s="25" t="s">
        <v>13</v>
      </c>
      <c r="I108" s="25" t="s">
        <f>=IFERROR(_xlfn.XLOOKUP(H108,$N$2:$N$8,$M$2:$M$8,H108,0),H108)</f>
        <v>12</v>
      </c>
      <c r="J108" s="32">
        <v>0</v>
      </c>
      <c r="K108" s="26">
        <v>0</v>
      </c>
      <c r="L108" s="8" t="b">
        <f>=E108=H108</f>
        <v>1</v>
      </c>
    </row>
    <row r="109" spans="1:12">
      <c r="A109" s="50" t="s"/>
      <c r="B109" s="28" t="s">
        <v>12</v>
      </c>
      <c r="C109" s="9" t="s">
        <v>16</v>
      </c>
      <c r="D109" s="24" t="s"/>
      <c r="E109" s="52" t="s">
        <v>19</v>
      </c>
      <c r="F109" s="45">
        <v>0</v>
      </c>
      <c r="G109" s="45">
        <v>0</v>
      </c>
      <c r="H109" s="25" t="s">
        <v>19</v>
      </c>
      <c r="I109" s="25" t="s">
        <f>=IFERROR(_xlfn.XLOOKUP(H109,$N$2:$N$8,$M$2:$M$8,H109,0),H109)</f>
        <v>18</v>
      </c>
      <c r="J109" s="32">
        <v>0</v>
      </c>
      <c r="K109" s="26">
        <v>0</v>
      </c>
      <c r="L109" s="8" t="b">
        <f>=E109=H109</f>
        <v>1</v>
      </c>
    </row>
    <row r="110" spans="1:12">
      <c r="A110" s="50" t="s"/>
      <c r="B110" s="28" t="s">
        <v>12</v>
      </c>
      <c r="C110" s="9" t="s">
        <v>18</v>
      </c>
      <c r="D110" s="51" t="s"/>
      <c r="E110" s="52" t="s">
        <v>17</v>
      </c>
      <c r="F110" s="45">
        <v>0</v>
      </c>
      <c r="G110" s="45">
        <v>0</v>
      </c>
      <c r="H110" s="25" t="s">
        <v>17</v>
      </c>
      <c r="I110" s="25" t="s">
        <f>=IFERROR(_xlfn.XLOOKUP(H110,$N$2:$N$8,$M$2:$M$8,H110,0),H110)</f>
        <v>16</v>
      </c>
      <c r="J110" s="32">
        <v>0</v>
      </c>
      <c r="K110" s="26">
        <v>0</v>
      </c>
      <c r="L110" s="8" t="b">
        <f>=E110=H110</f>
        <v>1</v>
      </c>
    </row>
    <row r="111" spans="1:12">
      <c r="A111" s="50" t="s"/>
      <c r="B111" s="28" t="s">
        <v>12</v>
      </c>
      <c r="C111" s="9" t="s">
        <v>20</v>
      </c>
      <c r="D111" s="51" t="s"/>
      <c r="E111" s="44" t="s">
        <v>17</v>
      </c>
      <c r="F111" s="45">
        <v>0</v>
      </c>
      <c r="G111" s="45">
        <v>0</v>
      </c>
      <c r="H111" s="25" t="s">
        <v>17</v>
      </c>
      <c r="I111" s="25" t="s">
        <f>=IFERROR(_xlfn.XLOOKUP(H111,$N$2:$N$8,$M$2:$M$8,H111,0),H111)</f>
        <v>16</v>
      </c>
      <c r="J111" s="32">
        <v>0</v>
      </c>
      <c r="K111" s="26">
        <v>0</v>
      </c>
      <c r="L111" s="8" t="b">
        <f>=E111=H111</f>
        <v>1</v>
      </c>
    </row>
    <row r="112" spans="1:14">
      <c r="A112" s="50" t="s"/>
      <c r="B112" s="22" t="s">
        <v>12</v>
      </c>
      <c r="C112" s="9" t="s">
        <v>22</v>
      </c>
      <c r="D112" s="51" t="s"/>
      <c r="E112" s="51" t="s">
        <v>13</v>
      </c>
      <c r="F112" s="51">
        <v>0</v>
      </c>
      <c r="G112" s="51">
        <v>0</v>
      </c>
      <c r="H112" s="25" t="s">
        <v>13</v>
      </c>
      <c r="I112" s="25" t="s">
        <f>=IFERROR(_xlfn.XLOOKUP(H112,$N$2:$N$8,$M$2:$M$8,H112,0),H112)</f>
        <v>12</v>
      </c>
      <c r="J112" s="32">
        <v>0</v>
      </c>
      <c r="K112" s="26">
        <v>0</v>
      </c>
      <c r="L112" s="8" t="b">
        <f>=E112=H112</f>
        <v>1</v>
      </c>
      <c r="N112" s="53" t="s"/>
    </row>
    <row r="113" spans="1:14">
      <c r="A113" s="54" t="s"/>
      <c r="B113" s="22" t="s">
        <v>12</v>
      </c>
      <c r="C113" s="9" t="s">
        <v>24</v>
      </c>
      <c r="D113" s="51" t="s"/>
      <c r="E113" s="51" t="s">
        <v>19</v>
      </c>
      <c r="F113" s="51">
        <v>0</v>
      </c>
      <c r="G113" s="51">
        <v>0</v>
      </c>
      <c r="H113" s="8" t="s">
        <v>19</v>
      </c>
      <c r="I113" s="25" t="s">
        <f>=IFERROR(_xlfn.XLOOKUP(H113,$N$2:$N$8,$M$2:$M$8,H113,0),H113)</f>
        <v>18</v>
      </c>
      <c r="J113" s="7">
        <v>0</v>
      </c>
      <c r="K113" s="26">
        <v>0</v>
      </c>
      <c r="L113" s="8" t="b">
        <f>=E113=H113</f>
        <v>1</v>
      </c>
      <c r="N113" s="53" t="s"/>
    </row>
    <row r="114" spans="1:14">
      <c r="A114" s="54" t="s"/>
      <c r="B114" s="22" t="s">
        <v>14</v>
      </c>
      <c r="C114" s="9" t="s">
        <v>12</v>
      </c>
      <c r="D114" s="51" t="s"/>
      <c r="E114" s="51" t="s">
        <v>15</v>
      </c>
      <c r="F114" s="51">
        <v>0</v>
      </c>
      <c r="G114" s="51">
        <v>0</v>
      </c>
      <c r="H114" s="8" t="s">
        <v>15</v>
      </c>
      <c r="I114" s="25" t="s">
        <f>=IFERROR(_xlfn.XLOOKUP(H114,$N$2:$N$8,$M$2:$M$8,H114,0),H114)</f>
        <v>14</v>
      </c>
      <c r="J114" s="7">
        <v>0</v>
      </c>
      <c r="K114" s="26">
        <v>0</v>
      </c>
      <c r="L114" s="8" t="b">
        <f>=E114=H114</f>
        <v>1</v>
      </c>
      <c r="N114" s="53" t="s"/>
    </row>
    <row r="115" spans="1:14">
      <c r="A115" s="54" t="s"/>
      <c r="B115" s="7" t="s">
        <v>14</v>
      </c>
      <c r="C115" s="9" t="s">
        <v>14</v>
      </c>
      <c r="D115" s="51" t="s"/>
      <c r="E115" s="51" t="s">
        <v>13</v>
      </c>
      <c r="F115" s="51">
        <v>0</v>
      </c>
      <c r="G115" s="51">
        <v>0</v>
      </c>
      <c r="H115" s="8" t="s">
        <v>13</v>
      </c>
      <c r="I115" s="25" t="s">
        <f>=IFERROR(_xlfn.XLOOKUP(H115,$N$2:$N$8,$M$2:$M$8,H115,0),H115)</f>
        <v>12</v>
      </c>
      <c r="J115" s="7">
        <v>0</v>
      </c>
      <c r="K115" s="26">
        <v>0</v>
      </c>
      <c r="L115" s="8" t="b">
        <f>=E115=H115</f>
        <v>1</v>
      </c>
      <c r="N115" s="53" t="s"/>
    </row>
    <row r="116" spans="1:14">
      <c r="A116" s="54" t="s"/>
      <c r="B116" s="22" t="s">
        <v>14</v>
      </c>
      <c r="C116" s="9" t="s">
        <v>16</v>
      </c>
      <c r="D116" s="51" t="s"/>
      <c r="E116" s="51" t="s">
        <v>19</v>
      </c>
      <c r="F116" s="51">
        <v>0</v>
      </c>
      <c r="G116" s="51">
        <v>0</v>
      </c>
      <c r="H116" s="8" t="s">
        <v>19</v>
      </c>
      <c r="I116" s="25" t="s">
        <f>=IFERROR(_xlfn.XLOOKUP(H116,$N$2:$N$8,$M$2:$M$8,H116,0),H116)</f>
        <v>18</v>
      </c>
      <c r="J116" s="7">
        <v>0</v>
      </c>
      <c r="K116" s="26">
        <v>0</v>
      </c>
      <c r="L116" s="8" t="b">
        <f>=E116=H116</f>
        <v>1</v>
      </c>
      <c r="N116" s="53" t="s"/>
    </row>
    <row r="117" spans="1:14">
      <c r="A117" s="54" t="s"/>
      <c r="B117" s="22" t="s">
        <v>14</v>
      </c>
      <c r="C117" s="9" t="s">
        <v>18</v>
      </c>
      <c r="D117" s="51" t="s"/>
      <c r="E117" s="51" t="s">
        <v>17</v>
      </c>
      <c r="F117" s="51">
        <v>0</v>
      </c>
      <c r="G117" s="51">
        <v>0</v>
      </c>
      <c r="H117" s="8" t="s">
        <v>17</v>
      </c>
      <c r="I117" s="25" t="s">
        <f>=IFERROR(_xlfn.XLOOKUP(H117,$N$2:$N$8,$M$2:$M$8,H117,0),H117)</f>
        <v>16</v>
      </c>
      <c r="J117" s="7">
        <v>0</v>
      </c>
      <c r="K117" s="26">
        <v>0</v>
      </c>
      <c r="L117" s="8" t="b">
        <f>=E117=H117</f>
        <v>1</v>
      </c>
      <c r="N117" s="53" t="s"/>
    </row>
    <row r="118" spans="1:14">
      <c r="A118" s="54" t="s"/>
      <c r="B118" s="22" t="s">
        <v>14</v>
      </c>
      <c r="C118" s="9" t="s">
        <v>20</v>
      </c>
      <c r="D118" s="51" t="s"/>
      <c r="E118" s="51" t="s">
        <v>17</v>
      </c>
      <c r="F118" s="51">
        <v>0</v>
      </c>
      <c r="G118" s="51">
        <v>0</v>
      </c>
      <c r="H118" s="8" t="s">
        <v>17</v>
      </c>
      <c r="I118" s="25" t="s">
        <f>=IFERROR(_xlfn.XLOOKUP(H118,$N$2:$N$8,$M$2:$M$8,H118,0),H118)</f>
        <v>16</v>
      </c>
      <c r="J118" s="7">
        <v>0</v>
      </c>
      <c r="K118" s="26">
        <v>0</v>
      </c>
      <c r="L118" s="8" t="b">
        <f>=E118=H118</f>
        <v>1</v>
      </c>
      <c r="N118" s="53" t="s"/>
    </row>
    <row r="119" spans="1:14">
      <c r="A119" s="54" t="s"/>
      <c r="B119" s="22" t="s">
        <v>14</v>
      </c>
      <c r="C119" s="9" t="s">
        <v>22</v>
      </c>
      <c r="D119" s="51" t="s"/>
      <c r="E119" s="51" t="s">
        <v>13</v>
      </c>
      <c r="F119" s="51">
        <v>0</v>
      </c>
      <c r="G119" s="51">
        <v>0</v>
      </c>
      <c r="H119" s="8" t="s">
        <v>13</v>
      </c>
      <c r="I119" s="25" t="s">
        <f>=IFERROR(_xlfn.XLOOKUP(H119,$N$2:$N$8,$M$2:$M$8,H119,0),H119)</f>
        <v>12</v>
      </c>
      <c r="J119" s="7">
        <v>0</v>
      </c>
      <c r="K119" s="26">
        <v>0</v>
      </c>
      <c r="L119" s="8" t="b">
        <f>=E119=H119</f>
        <v>1</v>
      </c>
      <c r="N119" s="53" t="s"/>
    </row>
    <row r="120" spans="1:14">
      <c r="A120" s="54" t="s"/>
      <c r="B120" s="22" t="s">
        <v>14</v>
      </c>
      <c r="C120" s="9" t="s">
        <v>24</v>
      </c>
      <c r="D120" s="51" t="s"/>
      <c r="E120" s="51" t="s">
        <v>19</v>
      </c>
      <c r="F120" s="51">
        <v>0</v>
      </c>
      <c r="G120" s="51">
        <v>0</v>
      </c>
      <c r="H120" s="8" t="s">
        <v>19</v>
      </c>
      <c r="I120" s="25" t="s">
        <f>=IFERROR(_xlfn.XLOOKUP(H120,$N$2:$N$8,$M$2:$M$8,H120,0),H120)</f>
        <v>18</v>
      </c>
      <c r="J120" s="7">
        <v>0</v>
      </c>
      <c r="K120" s="26">
        <v>0</v>
      </c>
      <c r="L120" s="8" t="b">
        <f>=E120=H120</f>
        <v>1</v>
      </c>
      <c r="N120" s="53" t="s"/>
    </row>
    <row r="121" spans="1:14">
      <c r="A121" s="54" t="s"/>
      <c r="B121" s="22" t="s">
        <v>16</v>
      </c>
      <c r="C121" s="9" t="s">
        <v>12</v>
      </c>
      <c r="D121" s="51" t="s"/>
      <c r="E121" s="51" t="s">
        <v>17</v>
      </c>
      <c r="F121" s="51">
        <v>0</v>
      </c>
      <c r="G121" s="51">
        <v>0</v>
      </c>
      <c r="H121" s="8" t="s">
        <v>17</v>
      </c>
      <c r="I121" s="25" t="s">
        <f>=IFERROR(_xlfn.XLOOKUP(H121,$N$2:$N$8,$M$2:$M$8,H121,0),H121)</f>
        <v>16</v>
      </c>
      <c r="J121" s="7">
        <v>0</v>
      </c>
      <c r="K121" s="26">
        <v>0</v>
      </c>
      <c r="L121" s="8" t="b">
        <f>=E121=H121</f>
        <v>1</v>
      </c>
      <c r="N121" s="53" t="s"/>
    </row>
    <row r="122" spans="1:14">
      <c r="A122" s="54" t="s"/>
      <c r="B122" s="22" t="s">
        <v>16</v>
      </c>
      <c r="C122" s="9" t="s">
        <v>14</v>
      </c>
      <c r="D122" s="51" t="s"/>
      <c r="E122" s="51" t="s">
        <v>17</v>
      </c>
      <c r="F122" s="51">
        <v>0</v>
      </c>
      <c r="G122" s="51">
        <v>0</v>
      </c>
      <c r="H122" s="8" t="s">
        <v>17</v>
      </c>
      <c r="I122" s="25" t="s">
        <f>=IFERROR(_xlfn.XLOOKUP(H122,$N$2:$N$8,$M$2:$M$8,H122,0),H122)</f>
        <v>16</v>
      </c>
      <c r="J122" s="7">
        <v>0</v>
      </c>
      <c r="K122" s="26">
        <v>0</v>
      </c>
      <c r="L122" s="8" t="b">
        <f>=E122=H122</f>
        <v>1</v>
      </c>
      <c r="N122" s="53" t="s"/>
    </row>
    <row r="123" spans="1:14">
      <c r="A123" s="54" t="s"/>
      <c r="B123" s="22" t="s">
        <v>16</v>
      </c>
      <c r="C123" s="9" t="s">
        <v>16</v>
      </c>
      <c r="D123" s="51" t="s"/>
      <c r="E123" s="51" t="s">
        <v>17</v>
      </c>
      <c r="F123" s="51">
        <v>0</v>
      </c>
      <c r="G123" s="51">
        <v>0</v>
      </c>
      <c r="H123" s="8" t="s">
        <v>17</v>
      </c>
      <c r="I123" s="25" t="s">
        <f>=IFERROR(_xlfn.XLOOKUP(H123,$N$2:$N$8,$M$2:$M$8,H123,0),H123)</f>
        <v>16</v>
      </c>
      <c r="J123" s="7">
        <v>0</v>
      </c>
      <c r="K123" s="26">
        <v>0</v>
      </c>
      <c r="L123" s="8" t="b">
        <f>=E123=H123</f>
        <v>1</v>
      </c>
      <c r="N123" s="53" t="s"/>
    </row>
    <row r="124" spans="1:14">
      <c r="A124" s="54" t="s"/>
      <c r="B124" s="22" t="s">
        <v>16</v>
      </c>
      <c r="C124" s="9" t="s">
        <v>18</v>
      </c>
      <c r="D124" s="51" t="s"/>
      <c r="E124" s="51" t="s">
        <v>17</v>
      </c>
      <c r="F124" s="51">
        <v>0</v>
      </c>
      <c r="G124" s="51">
        <v>0</v>
      </c>
      <c r="H124" s="8" t="s">
        <v>17</v>
      </c>
      <c r="I124" s="25" t="s">
        <f>=IFERROR(_xlfn.XLOOKUP(H124,$N$2:$N$8,$M$2:$M$8,H124,0),H124)</f>
        <v>16</v>
      </c>
      <c r="J124" s="7">
        <v>0</v>
      </c>
      <c r="K124" s="26">
        <v>0</v>
      </c>
      <c r="L124" s="8" t="b">
        <f>=E124=H124</f>
        <v>1</v>
      </c>
      <c r="N124" s="53" t="s"/>
    </row>
    <row r="125" spans="1:14">
      <c r="A125" s="54" t="s"/>
      <c r="B125" s="22" t="s">
        <v>16</v>
      </c>
      <c r="C125" s="9" t="s">
        <v>20</v>
      </c>
      <c r="D125" s="51" t="s"/>
      <c r="E125" s="51" t="s">
        <v>17</v>
      </c>
      <c r="F125" s="51">
        <v>0</v>
      </c>
      <c r="G125" s="51">
        <v>0</v>
      </c>
      <c r="H125" s="8" t="s">
        <v>17</v>
      </c>
      <c r="I125" s="25" t="s">
        <f>=IFERROR(_xlfn.XLOOKUP(H125,$N$2:$N$8,$M$2:$M$8,H125,0),H125)</f>
        <v>16</v>
      </c>
      <c r="J125" s="7">
        <v>0</v>
      </c>
      <c r="K125" s="26">
        <v>0</v>
      </c>
      <c r="L125" s="8" t="b">
        <f>=E125=H125</f>
        <v>1</v>
      </c>
      <c r="N125" s="53" t="s"/>
    </row>
    <row r="126" spans="1:14">
      <c r="A126" s="54" t="s"/>
      <c r="B126" s="22" t="s">
        <v>16</v>
      </c>
      <c r="C126" s="9" t="s">
        <v>22</v>
      </c>
      <c r="D126" s="51" t="s"/>
      <c r="E126" s="51" t="s">
        <v>17</v>
      </c>
      <c r="F126" s="51">
        <v>0</v>
      </c>
      <c r="G126" s="51">
        <v>0</v>
      </c>
      <c r="H126" s="8" t="s">
        <v>17</v>
      </c>
      <c r="I126" s="25" t="s">
        <f>=IFERROR(_xlfn.XLOOKUP(H126,$N$2:$N$8,$M$2:$M$8,H126,0),H126)</f>
        <v>16</v>
      </c>
      <c r="J126" s="7">
        <v>0</v>
      </c>
      <c r="K126" s="26">
        <v>0</v>
      </c>
      <c r="L126" s="8" t="b">
        <f>=E126=H126</f>
        <v>1</v>
      </c>
      <c r="N126" s="53" t="s"/>
    </row>
    <row r="127" spans="1:14">
      <c r="A127" s="54" t="s"/>
      <c r="B127" s="22" t="s">
        <v>16</v>
      </c>
      <c r="C127" s="9" t="s">
        <v>24</v>
      </c>
      <c r="D127" s="51" t="s"/>
      <c r="E127" s="51" t="s">
        <v>17</v>
      </c>
      <c r="F127" s="51">
        <v>0</v>
      </c>
      <c r="G127" s="51">
        <v>0</v>
      </c>
      <c r="H127" s="8" t="s">
        <v>17</v>
      </c>
      <c r="I127" s="25" t="s">
        <f>=IFERROR(_xlfn.XLOOKUP(H127,$N$2:$N$8,$M$2:$M$8,H127,0),H127)</f>
        <v>16</v>
      </c>
      <c r="J127" s="7">
        <v>0</v>
      </c>
      <c r="K127" s="26">
        <v>0</v>
      </c>
      <c r="L127" s="8" t="b">
        <f>=E127=H127</f>
        <v>1</v>
      </c>
      <c r="N127" s="53" t="s"/>
    </row>
    <row r="128" spans="1:14">
      <c r="A128" s="54" t="s"/>
      <c r="B128" s="22" t="s">
        <v>18</v>
      </c>
      <c r="C128" s="9" t="s">
        <v>12</v>
      </c>
      <c r="D128" s="51" t="s"/>
      <c r="E128" s="51" t="s">
        <v>19</v>
      </c>
      <c r="F128" s="51">
        <v>0</v>
      </c>
      <c r="G128" s="51">
        <v>0</v>
      </c>
      <c r="H128" s="8" t="s">
        <v>19</v>
      </c>
      <c r="I128" s="25" t="s">
        <f>=IFERROR(_xlfn.XLOOKUP(H128,$N$2:$N$8,$M$2:$M$8,H128,0),H128)</f>
        <v>18</v>
      </c>
      <c r="J128" s="7">
        <v>0</v>
      </c>
      <c r="K128" s="26">
        <v>0</v>
      </c>
      <c r="L128" s="8" t="b">
        <f>=E128=H128</f>
        <v>1</v>
      </c>
      <c r="N128" s="53" t="s"/>
    </row>
    <row r="129" spans="1:14">
      <c r="A129" s="54" t="s"/>
      <c r="B129" s="22" t="s">
        <v>18</v>
      </c>
      <c r="C129" s="9" t="s">
        <v>14</v>
      </c>
      <c r="D129" s="51" t="s"/>
      <c r="E129" s="51" t="s">
        <v>19</v>
      </c>
      <c r="F129" s="51">
        <v>0</v>
      </c>
      <c r="G129" s="51">
        <v>0</v>
      </c>
      <c r="H129" s="8" t="s">
        <v>19</v>
      </c>
      <c r="I129" s="25" t="s">
        <f>=IFERROR(_xlfn.XLOOKUP(H129,$N$2:$N$8,$M$2:$M$8,H129,0),H129)</f>
        <v>18</v>
      </c>
      <c r="J129" s="7">
        <v>0</v>
      </c>
      <c r="K129" s="26">
        <v>0</v>
      </c>
      <c r="L129" s="8" t="b">
        <f>=E129=H129</f>
        <v>1</v>
      </c>
      <c r="N129" s="53" t="s"/>
    </row>
    <row r="130" spans="1:14">
      <c r="A130" s="54" t="s"/>
      <c r="B130" s="22" t="s">
        <v>18</v>
      </c>
      <c r="C130" s="9" t="s">
        <v>16</v>
      </c>
      <c r="D130" s="51" t="s"/>
      <c r="E130" s="51" t="s">
        <v>19</v>
      </c>
      <c r="F130" s="51">
        <v>0</v>
      </c>
      <c r="G130" s="51">
        <v>0</v>
      </c>
      <c r="H130" s="8" t="s">
        <v>19</v>
      </c>
      <c r="I130" s="25" t="s">
        <f>=IFERROR(_xlfn.XLOOKUP(H130,$N$2:$N$8,$M$2:$M$8,H130,0),H130)</f>
        <v>18</v>
      </c>
      <c r="J130" s="7">
        <v>0</v>
      </c>
      <c r="K130" s="26">
        <v>0</v>
      </c>
      <c r="L130" s="8" t="b">
        <f>=E130=H130</f>
        <v>1</v>
      </c>
      <c r="N130" s="53" t="s"/>
    </row>
    <row r="131" spans="1:14">
      <c r="A131" s="54" t="s"/>
      <c r="B131" s="22" t="s">
        <v>18</v>
      </c>
      <c r="C131" s="9" t="s">
        <v>18</v>
      </c>
      <c r="D131" s="51" t="s"/>
      <c r="E131" s="51" t="s">
        <v>17</v>
      </c>
      <c r="F131" s="51">
        <v>0</v>
      </c>
      <c r="G131" s="51">
        <v>0</v>
      </c>
      <c r="H131" s="8" t="s">
        <v>17</v>
      </c>
      <c r="I131" s="25" t="s">
        <f>=IFERROR(_xlfn.XLOOKUP(H131,$N$2:$N$8,$M$2:$M$8,H131,0),H131)</f>
        <v>16</v>
      </c>
      <c r="J131" s="7">
        <v>0</v>
      </c>
      <c r="K131" s="26">
        <v>0</v>
      </c>
      <c r="L131" s="8" t="b">
        <f>=E131=H131</f>
        <v>1</v>
      </c>
      <c r="N131" s="53" t="s"/>
    </row>
    <row r="132" spans="1:14">
      <c r="A132" s="54" t="s"/>
      <c r="B132" s="22" t="s">
        <v>18</v>
      </c>
      <c r="C132" s="9" t="s">
        <v>20</v>
      </c>
      <c r="D132" s="51" t="s"/>
      <c r="E132" s="51" t="s">
        <v>17</v>
      </c>
      <c r="F132" s="51">
        <v>0</v>
      </c>
      <c r="G132" s="51">
        <v>0</v>
      </c>
      <c r="H132" s="8" t="s">
        <v>17</v>
      </c>
      <c r="I132" s="25" t="s">
        <f>=IFERROR(_xlfn.XLOOKUP(H132,$N$2:$N$8,$M$2:$M$8,H132,0),H132)</f>
        <v>16</v>
      </c>
      <c r="J132" s="7">
        <v>0</v>
      </c>
      <c r="K132" s="26">
        <v>0</v>
      </c>
      <c r="L132" s="8" t="b">
        <f>=E132=H132</f>
        <v>1</v>
      </c>
      <c r="N132" s="53" t="s"/>
    </row>
    <row r="133" spans="1:14">
      <c r="A133" s="54" t="s"/>
      <c r="B133" s="22" t="s">
        <v>18</v>
      </c>
      <c r="C133" s="9" t="s">
        <v>22</v>
      </c>
      <c r="D133" s="51" t="s"/>
      <c r="E133" s="51" t="s">
        <v>19</v>
      </c>
      <c r="F133" s="51">
        <v>0</v>
      </c>
      <c r="G133" s="51">
        <v>0</v>
      </c>
      <c r="H133" s="8" t="s">
        <v>19</v>
      </c>
      <c r="I133" s="25" t="s">
        <f>=IFERROR(_xlfn.XLOOKUP(H133,$N$2:$N$8,$M$2:$M$8,H133,0),H133)</f>
        <v>18</v>
      </c>
      <c r="J133" s="7">
        <v>0</v>
      </c>
      <c r="K133" s="26">
        <v>0</v>
      </c>
      <c r="L133" s="8" t="b">
        <f>=E133=H133</f>
        <v>1</v>
      </c>
      <c r="N133" s="53" t="s"/>
    </row>
    <row r="134" spans="1:14">
      <c r="A134" s="54" t="s"/>
      <c r="B134" s="22" t="s">
        <v>18</v>
      </c>
      <c r="C134" s="9" t="s">
        <v>24</v>
      </c>
      <c r="D134" s="51" t="s"/>
      <c r="E134" s="51" t="s">
        <v>19</v>
      </c>
      <c r="F134" s="51">
        <v>0</v>
      </c>
      <c r="G134" s="51">
        <v>0</v>
      </c>
      <c r="H134" s="8" t="s">
        <v>19</v>
      </c>
      <c r="I134" s="25" t="s">
        <f>=IFERROR(_xlfn.XLOOKUP(H134,$N$2:$N$8,$M$2:$M$8,H134,0),H134)</f>
        <v>18</v>
      </c>
      <c r="J134" s="7">
        <v>0</v>
      </c>
      <c r="K134" s="26">
        <v>0</v>
      </c>
      <c r="L134" s="8" t="b">
        <f>=E134=H134</f>
        <v>1</v>
      </c>
      <c r="N134" s="53" t="s"/>
    </row>
    <row r="135" spans="1:14">
      <c r="A135" s="54" t="s"/>
      <c r="B135" s="22" t="s">
        <v>20</v>
      </c>
      <c r="C135" s="9" t="s">
        <v>12</v>
      </c>
      <c r="D135" s="51" t="s"/>
      <c r="E135" s="51" t="s">
        <v>19</v>
      </c>
      <c r="F135" s="51">
        <v>0</v>
      </c>
      <c r="G135" s="51">
        <v>0</v>
      </c>
      <c r="H135" s="8" t="s">
        <v>19</v>
      </c>
      <c r="I135" s="25" t="s">
        <f>=IFERROR(_xlfn.XLOOKUP(H135,$N$2:$N$8,$M$2:$M$8,H135,0),H135)</f>
        <v>18</v>
      </c>
      <c r="J135" s="7">
        <v>0</v>
      </c>
      <c r="K135" s="26">
        <v>0</v>
      </c>
      <c r="L135" s="8" t="b">
        <f>=E135=H135</f>
        <v>1</v>
      </c>
      <c r="N135" s="53" t="s"/>
    </row>
    <row r="136" spans="1:14">
      <c r="A136" s="54" t="s"/>
      <c r="B136" s="22" t="s">
        <v>20</v>
      </c>
      <c r="C136" s="9" t="s">
        <v>14</v>
      </c>
      <c r="D136" s="51" t="s"/>
      <c r="E136" s="51" t="s">
        <v>19</v>
      </c>
      <c r="F136" s="51">
        <v>0</v>
      </c>
      <c r="G136" s="51">
        <v>0</v>
      </c>
      <c r="H136" s="8" t="s">
        <v>19</v>
      </c>
      <c r="I136" s="25" t="s">
        <f>=IFERROR(_xlfn.XLOOKUP(H136,$N$2:$N$8,$M$2:$M$8,H136,0),H136)</f>
        <v>18</v>
      </c>
      <c r="J136" s="7">
        <v>0</v>
      </c>
      <c r="K136" s="26">
        <v>0</v>
      </c>
      <c r="L136" s="8" t="b">
        <f>=E136=H136</f>
        <v>1</v>
      </c>
      <c r="N136" s="53" t="s"/>
    </row>
    <row r="137" spans="1:14">
      <c r="A137" s="54" t="s"/>
      <c r="B137" s="22" t="s">
        <v>20</v>
      </c>
      <c r="C137" s="9" t="s">
        <v>16</v>
      </c>
      <c r="D137" s="51" t="s"/>
      <c r="E137" s="51" t="s">
        <v>19</v>
      </c>
      <c r="F137" s="51">
        <v>0</v>
      </c>
      <c r="G137" s="51">
        <v>0</v>
      </c>
      <c r="H137" s="8" t="s">
        <v>19</v>
      </c>
      <c r="I137" s="25" t="s">
        <f>=IFERROR(_xlfn.XLOOKUP(H137,$N$2:$N$8,$M$2:$M$8,H137,0),H137)</f>
        <v>18</v>
      </c>
      <c r="J137" s="7">
        <v>0</v>
      </c>
      <c r="K137" s="26">
        <v>0</v>
      </c>
      <c r="L137" s="8" t="b">
        <f>=E137=H137</f>
        <v>1</v>
      </c>
      <c r="N137" s="53" t="s"/>
    </row>
    <row r="138" spans="1:14">
      <c r="A138" s="54" t="s"/>
      <c r="B138" s="22" t="s">
        <v>20</v>
      </c>
      <c r="C138" s="9" t="s">
        <v>18</v>
      </c>
      <c r="D138" s="51" t="s"/>
      <c r="E138" s="51" t="s">
        <v>17</v>
      </c>
      <c r="F138" s="51">
        <v>0</v>
      </c>
      <c r="G138" s="51">
        <v>0</v>
      </c>
      <c r="H138" s="8" t="s">
        <v>17</v>
      </c>
      <c r="I138" s="25" t="s">
        <f>=IFERROR(_xlfn.XLOOKUP(H138,$N$2:$N$8,$M$2:$M$8,H138,0),H138)</f>
        <v>16</v>
      </c>
      <c r="J138" s="7">
        <v>0</v>
      </c>
      <c r="K138" s="26">
        <v>0</v>
      </c>
      <c r="L138" s="8" t="b">
        <f>=E138=H138</f>
        <v>1</v>
      </c>
      <c r="N138" s="53" t="s"/>
    </row>
    <row r="139" spans="1:14">
      <c r="A139" s="54" t="s"/>
      <c r="B139" s="22" t="s">
        <v>20</v>
      </c>
      <c r="C139" s="9" t="s">
        <v>20</v>
      </c>
      <c r="D139" s="51" t="s"/>
      <c r="E139" s="51" t="s">
        <v>17</v>
      </c>
      <c r="F139" s="51">
        <v>0</v>
      </c>
      <c r="G139" s="51">
        <v>0</v>
      </c>
      <c r="H139" s="8" t="s">
        <v>17</v>
      </c>
      <c r="I139" s="25" t="s">
        <f>=IFERROR(_xlfn.XLOOKUP(H139,$N$2:$N$8,$M$2:$M$8,H139,0),H139)</f>
        <v>16</v>
      </c>
      <c r="J139" s="7">
        <v>0</v>
      </c>
      <c r="K139" s="26">
        <v>0</v>
      </c>
      <c r="L139" s="8" t="b">
        <f>=E139=H139</f>
        <v>1</v>
      </c>
      <c r="N139" s="53" t="s"/>
    </row>
    <row r="140" spans="1:14">
      <c r="A140" s="54" t="s"/>
      <c r="B140" s="22" t="s">
        <v>20</v>
      </c>
      <c r="C140" s="9" t="s">
        <v>22</v>
      </c>
      <c r="D140" s="51" t="s"/>
      <c r="E140" s="51" t="s">
        <v>19</v>
      </c>
      <c r="F140" s="51">
        <v>0</v>
      </c>
      <c r="G140" s="51">
        <v>0</v>
      </c>
      <c r="H140" s="8" t="s">
        <v>19</v>
      </c>
      <c r="I140" s="25" t="s">
        <f>=IFERROR(_xlfn.XLOOKUP(H140,$N$2:$N$8,$M$2:$M$8,H140,0),H140)</f>
        <v>18</v>
      </c>
      <c r="J140" s="7">
        <v>0</v>
      </c>
      <c r="K140" s="26">
        <v>0</v>
      </c>
      <c r="L140" s="8" t="b">
        <f>=E140=H140</f>
        <v>1</v>
      </c>
      <c r="N140" s="53" t="s"/>
    </row>
    <row r="141" spans="1:14">
      <c r="A141" s="54" t="s"/>
      <c r="B141" s="22" t="s">
        <v>20</v>
      </c>
      <c r="C141" s="9" t="s">
        <v>24</v>
      </c>
      <c r="D141" s="51" t="s"/>
      <c r="E141" s="51" t="s">
        <v>19</v>
      </c>
      <c r="F141" s="51">
        <v>0</v>
      </c>
      <c r="G141" s="51">
        <v>0</v>
      </c>
      <c r="H141" s="8" t="s">
        <v>19</v>
      </c>
      <c r="I141" s="25" t="s">
        <f>=IFERROR(_xlfn.XLOOKUP(H141,$N$2:$N$8,$M$2:$M$8,H141,0),H141)</f>
        <v>18</v>
      </c>
      <c r="J141" s="7">
        <v>0</v>
      </c>
      <c r="K141" s="26">
        <v>0</v>
      </c>
      <c r="L141" s="8" t="b">
        <f>=E141=H141</f>
        <v>1</v>
      </c>
      <c r="N141" s="53" t="s"/>
    </row>
    <row r="142" spans="1:14">
      <c r="A142" s="54" t="s"/>
      <c r="B142" s="22" t="s">
        <v>22</v>
      </c>
      <c r="C142" s="9" t="s">
        <v>12</v>
      </c>
      <c r="D142" s="51" t="s"/>
      <c r="E142" s="51" t="s">
        <v>15</v>
      </c>
      <c r="F142" s="51">
        <v>0</v>
      </c>
      <c r="G142" s="51">
        <v>0</v>
      </c>
      <c r="H142" s="8" t="s">
        <v>15</v>
      </c>
      <c r="I142" s="25" t="s">
        <f>=IFERROR(_xlfn.XLOOKUP(H142,$N$2:$N$8,$M$2:$M$8,H142,0),H142)</f>
        <v>14</v>
      </c>
      <c r="J142" s="7">
        <v>0</v>
      </c>
      <c r="K142" s="26">
        <v>0</v>
      </c>
      <c r="L142" s="8" t="b">
        <f>=E142=H142</f>
        <v>1</v>
      </c>
      <c r="N142" s="53" t="s"/>
    </row>
    <row r="143" spans="1:14">
      <c r="A143" s="54" t="s"/>
      <c r="B143" s="22" t="s">
        <v>22</v>
      </c>
      <c r="C143" s="9" t="s">
        <v>14</v>
      </c>
      <c r="D143" s="51" t="s"/>
      <c r="E143" s="51" t="s">
        <v>13</v>
      </c>
      <c r="F143" s="51">
        <v>0</v>
      </c>
      <c r="G143" s="51">
        <v>0</v>
      </c>
      <c r="H143" s="8" t="s">
        <v>13</v>
      </c>
      <c r="I143" s="25" t="s">
        <f>=IFERROR(_xlfn.XLOOKUP(H143,$N$2:$N$8,$M$2:$M$8,H143,0),H143)</f>
        <v>12</v>
      </c>
      <c r="J143" s="7">
        <v>0</v>
      </c>
      <c r="K143" s="26">
        <v>0</v>
      </c>
      <c r="L143" s="8" t="b">
        <f>=E143=H143</f>
        <v>1</v>
      </c>
      <c r="N143" s="53" t="s"/>
    </row>
    <row r="144" spans="1:14">
      <c r="A144" s="54" t="s"/>
      <c r="B144" s="22" t="s">
        <v>22</v>
      </c>
      <c r="C144" s="9" t="s">
        <v>16</v>
      </c>
      <c r="D144" s="51" t="s"/>
      <c r="E144" s="51" t="s">
        <v>19</v>
      </c>
      <c r="F144" s="51">
        <v>0</v>
      </c>
      <c r="G144" s="51">
        <v>0</v>
      </c>
      <c r="H144" s="8" t="s">
        <v>19</v>
      </c>
      <c r="I144" s="25" t="s">
        <f>=IFERROR(_xlfn.XLOOKUP(H144,$N$2:$N$8,$M$2:$M$8,H144,0),H144)</f>
        <v>18</v>
      </c>
      <c r="J144" s="7">
        <v>0</v>
      </c>
      <c r="K144" s="26">
        <v>0</v>
      </c>
      <c r="L144" s="8" t="b">
        <f>=E144=H144</f>
        <v>1</v>
      </c>
      <c r="N144" s="53" t="s"/>
    </row>
    <row r="145" spans="1:14">
      <c r="A145" s="54" t="s"/>
      <c r="B145" s="22" t="s">
        <v>22</v>
      </c>
      <c r="C145" s="9" t="s">
        <v>18</v>
      </c>
      <c r="D145" s="51" t="s"/>
      <c r="E145" s="51" t="s">
        <v>17</v>
      </c>
      <c r="F145" s="51">
        <v>0</v>
      </c>
      <c r="G145" s="51">
        <v>0</v>
      </c>
      <c r="H145" s="8" t="s">
        <v>17</v>
      </c>
      <c r="I145" s="25" t="s">
        <f>=IFERROR(_xlfn.XLOOKUP(H145,$N$2:$N$8,$M$2:$M$8,H145,0),H145)</f>
        <v>16</v>
      </c>
      <c r="J145" s="7">
        <v>0</v>
      </c>
      <c r="K145" s="26">
        <v>0</v>
      </c>
      <c r="L145" s="8" t="b">
        <f>=E145=H145</f>
        <v>1</v>
      </c>
      <c r="N145" s="53" t="s"/>
    </row>
    <row r="146" spans="1:14">
      <c r="A146" s="54" t="s"/>
      <c r="B146" s="22" t="s">
        <v>22</v>
      </c>
      <c r="C146" s="9" t="s">
        <v>20</v>
      </c>
      <c r="D146" s="51" t="s"/>
      <c r="E146" s="51" t="s">
        <v>17</v>
      </c>
      <c r="F146" s="51">
        <v>0</v>
      </c>
      <c r="G146" s="51">
        <v>0</v>
      </c>
      <c r="H146" s="8" t="s">
        <v>17</v>
      </c>
      <c r="I146" s="25" t="s">
        <f>=IFERROR(_xlfn.XLOOKUP(H146,$N$2:$N$8,$M$2:$M$8,H146,0),H146)</f>
        <v>16</v>
      </c>
      <c r="J146" s="7">
        <v>0</v>
      </c>
      <c r="K146" s="26">
        <v>0</v>
      </c>
      <c r="L146" s="8" t="b">
        <f>=E146=H146</f>
        <v>1</v>
      </c>
      <c r="N146" s="53" t="s"/>
    </row>
    <row r="147" spans="1:14">
      <c r="A147" s="54" t="s"/>
      <c r="B147" s="22" t="s">
        <v>22</v>
      </c>
      <c r="C147" s="9" t="s">
        <v>22</v>
      </c>
      <c r="D147" s="51" t="s"/>
      <c r="E147" s="51" t="s">
        <v>13</v>
      </c>
      <c r="F147" s="51">
        <v>0</v>
      </c>
      <c r="G147" s="51">
        <v>0</v>
      </c>
      <c r="H147" s="8" t="s">
        <v>13</v>
      </c>
      <c r="I147" s="25" t="s">
        <f>=IFERROR(_xlfn.XLOOKUP(H147,$N$2:$N$8,$M$2:$M$8,H147,0),H147)</f>
        <v>12</v>
      </c>
      <c r="J147" s="7">
        <v>0</v>
      </c>
      <c r="K147" s="26">
        <v>0</v>
      </c>
      <c r="L147" s="8" t="b">
        <f>=E147=H147</f>
        <v>1</v>
      </c>
      <c r="N147" s="53" t="s"/>
    </row>
    <row r="148" spans="1:14">
      <c r="A148" s="54" t="s"/>
      <c r="B148" s="22" t="s">
        <v>22</v>
      </c>
      <c r="C148" s="9" t="s">
        <v>24</v>
      </c>
      <c r="D148" s="51" t="s"/>
      <c r="E148" s="51" t="s">
        <v>19</v>
      </c>
      <c r="F148" s="51">
        <v>0</v>
      </c>
      <c r="G148" s="51">
        <v>0</v>
      </c>
      <c r="H148" s="8" t="s">
        <v>19</v>
      </c>
      <c r="I148" s="25" t="s">
        <f>=IFERROR(_xlfn.XLOOKUP(H148,$N$2:$N$8,$M$2:$M$8,H148,0),H148)</f>
        <v>18</v>
      </c>
      <c r="J148" s="7">
        <v>0</v>
      </c>
      <c r="K148" s="26">
        <v>0</v>
      </c>
      <c r="L148" s="8" t="b">
        <f>=E148=H148</f>
        <v>1</v>
      </c>
      <c r="N148" s="53" t="s"/>
    </row>
    <row r="149" spans="1:14">
      <c r="A149" s="54" t="s"/>
      <c r="B149" s="22" t="s">
        <v>24</v>
      </c>
      <c r="C149" s="9" t="s">
        <v>12</v>
      </c>
      <c r="D149" s="51" t="s"/>
      <c r="E149" s="51" t="s">
        <v>17</v>
      </c>
      <c r="F149" s="51">
        <v>0</v>
      </c>
      <c r="G149" s="51">
        <v>0</v>
      </c>
      <c r="H149" s="8" t="s">
        <v>17</v>
      </c>
      <c r="I149" s="25" t="s">
        <f>=IFERROR(_xlfn.XLOOKUP(H149,$N$2:$N$8,$M$2:$M$8,H149,0),H149)</f>
        <v>16</v>
      </c>
      <c r="J149" s="7">
        <v>0</v>
      </c>
      <c r="K149" s="26">
        <v>0</v>
      </c>
      <c r="L149" s="8" t="b">
        <f>=E149=H149</f>
        <v>1</v>
      </c>
      <c r="N149" s="53" t="s"/>
    </row>
    <row r="150" spans="1:14">
      <c r="A150" s="54" t="s"/>
      <c r="B150" s="22" t="s">
        <v>24</v>
      </c>
      <c r="C150" s="9" t="s">
        <v>14</v>
      </c>
      <c r="D150" s="51" t="s"/>
      <c r="E150" s="51" t="s">
        <v>17</v>
      </c>
      <c r="F150" s="51">
        <v>0</v>
      </c>
      <c r="G150" s="51">
        <v>0</v>
      </c>
      <c r="H150" s="8" t="s">
        <v>17</v>
      </c>
      <c r="I150" s="25" t="s">
        <f>=IFERROR(_xlfn.XLOOKUP(H150,$N$2:$N$8,$M$2:$M$8,H150,0),H150)</f>
        <v>16</v>
      </c>
      <c r="J150" s="7">
        <v>0</v>
      </c>
      <c r="K150" s="26">
        <v>0</v>
      </c>
      <c r="L150" s="8" t="b">
        <f>=E150=H150</f>
        <v>1</v>
      </c>
      <c r="N150" s="53" t="s"/>
    </row>
    <row r="151" spans="1:14">
      <c r="A151" s="54" t="s"/>
      <c r="B151" s="22" t="s">
        <v>24</v>
      </c>
      <c r="C151" s="9" t="s">
        <v>16</v>
      </c>
      <c r="D151" s="51" t="s"/>
      <c r="E151" s="51" t="s">
        <v>17</v>
      </c>
      <c r="F151" s="51">
        <v>0</v>
      </c>
      <c r="G151" s="51">
        <v>0</v>
      </c>
      <c r="H151" s="8" t="s">
        <v>17</v>
      </c>
      <c r="I151" s="25" t="s">
        <f>=IFERROR(_xlfn.XLOOKUP(H151,$N$2:$N$8,$M$2:$M$8,H151,0),H151)</f>
        <v>16</v>
      </c>
      <c r="J151" s="7">
        <v>0</v>
      </c>
      <c r="K151" s="26">
        <v>0</v>
      </c>
      <c r="L151" s="8" t="b">
        <f>=E151=H151</f>
        <v>1</v>
      </c>
      <c r="N151" s="53" t="s"/>
    </row>
    <row r="152" spans="1:12">
      <c r="A152" s="55" t="s"/>
      <c r="B152" s="22" t="s">
        <v>24</v>
      </c>
      <c r="C152" s="9" t="s">
        <v>18</v>
      </c>
      <c r="D152" s="9" t="s"/>
      <c r="E152" s="51" t="s">
        <v>17</v>
      </c>
      <c r="F152" s="51">
        <v>0</v>
      </c>
      <c r="G152" s="51">
        <v>0</v>
      </c>
      <c r="H152" s="25" t="s">
        <v>17</v>
      </c>
      <c r="I152" s="25" t="s">
        <f>=IFERROR(_xlfn.XLOOKUP(H152,$N$2:$N$8,$M$2:$M$8,H152,0),H152)</f>
        <v>16</v>
      </c>
      <c r="J152" s="32">
        <v>0</v>
      </c>
      <c r="K152" s="26">
        <v>0</v>
      </c>
      <c r="L152" s="56" t="b">
        <f>=E152=H152</f>
        <v>1</v>
      </c>
    </row>
    <row r="153" spans="1:12">
      <c r="A153" s="55" t="s"/>
      <c r="B153" s="22" t="s">
        <v>24</v>
      </c>
      <c r="C153" s="9" t="s">
        <v>20</v>
      </c>
      <c r="D153" s="9" t="s"/>
      <c r="E153" s="51" t="s">
        <v>17</v>
      </c>
      <c r="F153" s="51">
        <v>0</v>
      </c>
      <c r="G153" s="51">
        <v>0</v>
      </c>
      <c r="H153" s="25" t="s">
        <v>17</v>
      </c>
      <c r="I153" s="25" t="s">
        <f>=IFERROR(_xlfn.XLOOKUP(H153,$N$2:$N$8,$M$2:$M$8,H153,0),H153)</f>
        <v>16</v>
      </c>
      <c r="J153" s="32">
        <v>0</v>
      </c>
      <c r="K153" s="26">
        <v>0</v>
      </c>
      <c r="L153" s="56" t="b">
        <f>=E153=H153</f>
        <v>1</v>
      </c>
    </row>
    <row r="154" spans="1:12">
      <c r="A154" s="55" t="s"/>
      <c r="B154" s="22" t="s">
        <v>24</v>
      </c>
      <c r="C154" s="9" t="s">
        <v>22</v>
      </c>
      <c r="D154" s="9" t="s"/>
      <c r="E154" s="51" t="s">
        <v>17</v>
      </c>
      <c r="F154" s="51">
        <v>0</v>
      </c>
      <c r="G154" s="51">
        <v>0</v>
      </c>
      <c r="H154" s="25" t="s">
        <v>17</v>
      </c>
      <c r="I154" s="25" t="s">
        <f>=IFERROR(_xlfn.XLOOKUP(H154,$N$2:$N$8,$M$2:$M$8,H154,0),H154)</f>
        <v>16</v>
      </c>
      <c r="J154" s="32">
        <v>0</v>
      </c>
      <c r="K154" s="26">
        <v>0</v>
      </c>
      <c r="L154" s="56" t="b">
        <f>=E154=H154</f>
        <v>1</v>
      </c>
    </row>
    <row r="155" spans="1:12">
      <c r="A155" s="50" t="s"/>
      <c r="B155" s="22" t="s">
        <v>24</v>
      </c>
      <c r="C155" s="9" t="s">
        <v>24</v>
      </c>
      <c r="D155" s="57" t="s"/>
      <c r="E155" s="24" t="s">
        <v>17</v>
      </c>
      <c r="F155" s="24">
        <v>0</v>
      </c>
      <c r="G155" s="24">
        <v>0</v>
      </c>
      <c r="H155" s="25" t="s">
        <v>17</v>
      </c>
      <c r="I155" s="34" t="s">
        <f>=IFERROR(_xlfn.XLOOKUP(H155,$N$2:$N$8,$M$2:$M$8,H155,0),H155)</f>
        <v>16</v>
      </c>
      <c r="J155" s="32">
        <v>0</v>
      </c>
      <c r="K155" s="26">
        <v>0</v>
      </c>
      <c r="L155" s="8" t="b">
        <f>=E155=H155</f>
        <v>1</v>
      </c>
    </row>
    <row r="156" spans="1:12">
      <c r="A156" s="58" t="s"/>
      <c r="B156" s="59" t="s"/>
      <c r="C156" s="60" t="s"/>
      <c r="D156" s="61" t="s"/>
      <c r="E156" s="62" t="s"/>
      <c r="F156" s="62" t="s"/>
      <c r="G156" s="62" t="s"/>
      <c r="H156" s="63" t="s"/>
      <c r="I156" s="64" t="s"/>
      <c r="J156" s="65" t="s">
        <v>29</v>
      </c>
      <c r="K156" s="66" t="s">
        <v>30</v>
      </c>
      <c r="L156" s="20" t="s"/>
    </row>
    <row r="157" spans="1:12">
      <c r="A157" s="11" t="s">
        <v>31</v>
      </c>
      <c r="B157" s="13" t="s">
        <v>12</v>
      </c>
      <c r="C157" s="12" t="s"/>
      <c r="D157" s="14" t="s"/>
      <c r="E157" s="15" t="s">
        <v>13</v>
      </c>
      <c r="F157" s="15" t="s"/>
      <c r="G157" s="15" t="s"/>
      <c r="H157" s="16" t="s">
        <v>13</v>
      </c>
      <c r="I157" s="16" t="s">
        <f>=IFERROR(_xlfn.XLOOKUP(H157,$N$2:$N$8,$M$2:$M$8,H157,0),H157)</f>
        <v>12</v>
      </c>
      <c r="J157" s="18">
        <v>1</v>
      </c>
      <c r="K157" s="19">
        <v>0</v>
      </c>
      <c r="L157" s="20" t="b">
        <f>=E157=H157</f>
        <v>1</v>
      </c>
    </row>
    <row r="158" spans="1:12">
      <c r="A158" s="27" t="s"/>
      <c r="B158" s="9" t="s">
        <v>14</v>
      </c>
      <c r="C158" s="5" t="s"/>
      <c r="D158" s="4" t="s"/>
      <c r="E158" s="51" t="s">
        <v>13</v>
      </c>
      <c r="F158" s="51" t="s"/>
      <c r="G158" s="51" t="s"/>
      <c r="H158" s="25" t="s">
        <v>13</v>
      </c>
      <c r="I158" s="16" t="s">
        <f>=IFERROR(_xlfn.XLOOKUP(H158,$N$2:$N$8,$M$2:$M$8,H158,0),H158)</f>
        <v>12</v>
      </c>
      <c r="J158" s="7">
        <v>1</v>
      </c>
      <c r="K158" s="26">
        <v>0</v>
      </c>
      <c r="L158" s="20" t="b">
        <f>=E158=H158</f>
        <v>1</v>
      </c>
    </row>
    <row r="159" spans="1:12">
      <c r="A159" s="27" t="s"/>
      <c r="B159" s="9" t="s">
        <v>16</v>
      </c>
      <c r="C159" s="5" t="s"/>
      <c r="D159" s="4" t="s"/>
      <c r="E159" s="51" t="s">
        <v>17</v>
      </c>
      <c r="F159" s="51" t="s"/>
      <c r="G159" s="51" t="s"/>
      <c r="H159" s="25" t="s">
        <v>17</v>
      </c>
      <c r="I159" s="16" t="s">
        <f>=IFERROR(_xlfn.XLOOKUP(H159,$N$2:$N$8,$M$2:$M$8,H159,0),H159)</f>
        <v>16</v>
      </c>
      <c r="J159" s="7">
        <v>0</v>
      </c>
      <c r="K159" s="26">
        <v>0</v>
      </c>
      <c r="L159" s="20" t="b">
        <f>=E159=H159</f>
        <v>1</v>
      </c>
    </row>
    <row r="160" spans="1:12">
      <c r="A160" s="27" t="s"/>
      <c r="B160" s="9" t="s">
        <v>18</v>
      </c>
      <c r="C160" s="5" t="s"/>
      <c r="D160" s="4" t="s"/>
      <c r="E160" s="51" t="s">
        <v>17</v>
      </c>
      <c r="F160" s="51" t="s"/>
      <c r="G160" s="51" t="s"/>
      <c r="H160" s="25" t="s">
        <v>17</v>
      </c>
      <c r="I160" s="16" t="s">
        <f>=IFERROR(_xlfn.XLOOKUP(H160,$N$2:$N$8,$M$2:$M$8,H160,0),H160)</f>
        <v>16</v>
      </c>
      <c r="J160" s="7">
        <v>0</v>
      </c>
      <c r="K160" s="26">
        <v>0</v>
      </c>
      <c r="L160" s="20" t="b">
        <f>=E160=H160</f>
        <v>1</v>
      </c>
    </row>
    <row r="161" spans="1:12">
      <c r="A161" s="33" t="s"/>
      <c r="B161" s="9" t="s">
        <v>20</v>
      </c>
      <c r="C161" s="5" t="s"/>
      <c r="D161" s="4" t="s"/>
      <c r="E161" s="51" t="s">
        <v>25</v>
      </c>
      <c r="F161" s="51" t="s"/>
      <c r="G161" s="51" t="s"/>
      <c r="H161" s="8" t="s">
        <v>25</v>
      </c>
      <c r="I161" s="16" t="s">
        <f>=IFERROR(_xlfn.XLOOKUP(H161,$N$2:$N$8,$M$2:$M$8,H161,0),H161)</f>
        <v>24</v>
      </c>
      <c r="J161" s="7">
        <v>0</v>
      </c>
      <c r="K161" s="26">
        <v>0</v>
      </c>
      <c r="L161" s="20" t="b">
        <f>=E161=H161</f>
        <v>1</v>
      </c>
    </row>
    <row r="162" spans="1:12">
      <c r="A162" s="27" t="s"/>
      <c r="B162" s="9" t="s">
        <v>22</v>
      </c>
      <c r="C162" s="22" t="s"/>
      <c r="D162" s="23" t="s"/>
      <c r="E162" s="51" t="s">
        <v>32</v>
      </c>
      <c r="F162" s="51" t="s"/>
      <c r="G162" s="51" t="s"/>
      <c r="H162" s="25" t="s">
        <v>32</v>
      </c>
      <c r="I162" s="16" t="s">
        <f>=IFERROR(_xlfn.XLOOKUP(H162,$N$2:$N$8,$M$2:$M$8,H162,0),H162)</f>
        <v>32</v>
      </c>
      <c r="J162" s="7">
        <v>1</v>
      </c>
      <c r="K162" s="26">
        <v>0</v>
      </c>
      <c r="L162" s="20" t="b">
        <f>=E162=H162</f>
        <v>1</v>
      </c>
    </row>
    <row r="163" spans="1:12">
      <c r="A163" s="39" t="s"/>
      <c r="B163" s="9" t="s">
        <v>24</v>
      </c>
      <c r="C163" s="38" t="s"/>
      <c r="D163" s="23" t="s"/>
      <c r="E163" s="24" t="s">
        <v>25</v>
      </c>
      <c r="F163" s="24" t="s"/>
      <c r="G163" s="24" t="s"/>
      <c r="H163" s="25" t="s">
        <v>25</v>
      </c>
      <c r="I163" s="16" t="s">
        <f>=IFERROR(_xlfn.XLOOKUP(H163,$N$2:$N$8,$M$2:$M$8,H163,0),H163)</f>
        <v>24</v>
      </c>
      <c r="J163" s="7">
        <v>0</v>
      </c>
      <c r="K163" s="26">
        <v>0</v>
      </c>
      <c r="L163" s="20" t="b">
        <f>=E163=H163</f>
        <v>1</v>
      </c>
    </row>
    <row r="164" spans="1:11">
      <c r="A164" s="68" t="s">
        <v>33</v>
      </c>
      <c r="D164" s="69" t="s">
        <v>4</v>
      </c>
      <c r="E164" s="62" t="s"/>
      <c r="F164" s="62" t="s"/>
      <c r="G164" s="62" t="s"/>
      <c r="H164" s="70" t="s">
        <v>34</v>
      </c>
      <c r="I164" s="64" t="s"/>
      <c r="J164" s="65" t="s">
        <v>29</v>
      </c>
      <c r="K164" s="66" t="s">
        <v>30</v>
      </c>
    </row>
    <row r="165" spans="1:12">
      <c r="A165" s="11" t="s">
        <v>35</v>
      </c>
      <c r="B165" s="12" t="s">
        <v>12</v>
      </c>
      <c r="C165" s="13" t="s">
        <v>12</v>
      </c>
      <c r="D165" s="15">
        <v>1</v>
      </c>
      <c r="E165" s="12" t="s"/>
      <c r="F165" s="12" t="s"/>
      <c r="G165" s="12" t="s"/>
      <c r="H165" s="16" t="s"/>
      <c r="I165" s="16" t="s"/>
      <c r="J165" s="18">
        <v>1</v>
      </c>
      <c r="K165" s="19">
        <v>0</v>
      </c>
      <c r="L165" t="b">
        <f>=D165=J165</f>
        <v>1</v>
      </c>
    </row>
    <row r="166" spans="1:12">
      <c r="A166" s="27" t="s"/>
      <c r="B166" s="22" t="s">
        <v>12</v>
      </c>
      <c r="C166" s="9" t="s">
        <v>14</v>
      </c>
      <c r="D166" s="71">
        <v>1</v>
      </c>
      <c r="E166" s="28" t="s"/>
      <c r="F166" s="38" t="s"/>
      <c r="G166" s="38" t="s"/>
      <c r="H166" s="8" t="s"/>
      <c r="I166" s="8" t="s"/>
      <c r="J166" s="7">
        <v>1</v>
      </c>
      <c r="K166" s="26">
        <v>0</v>
      </c>
      <c r="L166" t="b">
        <f>=D166=J166</f>
        <v>1</v>
      </c>
    </row>
    <row r="167" spans="1:12">
      <c r="A167" s="27" t="s"/>
      <c r="B167" s="28" t="s">
        <v>12</v>
      </c>
      <c r="C167" s="9" t="s">
        <v>16</v>
      </c>
      <c r="D167" s="71">
        <v>0</v>
      </c>
      <c r="E167" s="28" t="s"/>
      <c r="F167" s="38" t="s"/>
      <c r="G167" s="38" t="s"/>
      <c r="H167" s="8" t="s"/>
      <c r="I167" s="8" t="s"/>
      <c r="J167" s="7">
        <v>0</v>
      </c>
      <c r="K167" s="26">
        <v>1</v>
      </c>
      <c r="L167" t="b">
        <f>=D167=J167</f>
        <v>1</v>
      </c>
    </row>
    <row r="168" spans="1:12">
      <c r="A168" s="27" t="s"/>
      <c r="B168" s="28" t="s">
        <v>12</v>
      </c>
      <c r="C168" s="9" t="s">
        <v>18</v>
      </c>
      <c r="D168" s="71">
        <v>0</v>
      </c>
      <c r="E168" s="28" t="s"/>
      <c r="F168" s="38" t="s"/>
      <c r="G168" s="38" t="s"/>
      <c r="H168" s="8" t="s"/>
      <c r="I168" s="8" t="s"/>
      <c r="J168" s="7">
        <v>0</v>
      </c>
      <c r="K168" s="26">
        <v>0</v>
      </c>
      <c r="L168" t="b">
        <f>=D168=J168</f>
        <v>1</v>
      </c>
    </row>
    <row r="169" spans="1:12">
      <c r="A169" s="33" t="s"/>
      <c r="B169" s="28" t="s">
        <v>12</v>
      </c>
      <c r="C169" s="9" t="s">
        <v>20</v>
      </c>
      <c r="D169" s="31">
        <v>0</v>
      </c>
      <c r="E169" s="38" t="s"/>
      <c r="F169" s="38" t="s"/>
      <c r="G169" s="38" t="s"/>
      <c r="H169" s="8" t="s"/>
      <c r="I169" s="8" t="s"/>
      <c r="J169" s="7">
        <v>0</v>
      </c>
      <c r="K169" s="26">
        <v>0</v>
      </c>
      <c r="L169" t="b">
        <f>=D169=J169</f>
        <v>1</v>
      </c>
    </row>
    <row r="170" spans="1:12">
      <c r="A170" s="33" t="s"/>
      <c r="B170" s="22" t="s">
        <v>12</v>
      </c>
      <c r="C170" s="9" t="s">
        <v>22</v>
      </c>
      <c r="D170" s="31">
        <v>1</v>
      </c>
      <c r="E170" s="38" t="s"/>
      <c r="F170" s="38" t="s"/>
      <c r="G170" s="38" t="s"/>
      <c r="H170" s="8" t="s"/>
      <c r="I170" s="8" t="s"/>
      <c r="J170" s="7">
        <v>1</v>
      </c>
      <c r="K170" s="26">
        <v>0</v>
      </c>
      <c r="L170" t="b">
        <f>=D170=J170</f>
        <v>1</v>
      </c>
    </row>
    <row r="171" spans="1:12">
      <c r="A171" s="33" t="s"/>
      <c r="B171" s="22" t="s">
        <v>12</v>
      </c>
      <c r="C171" s="9" t="s">
        <v>24</v>
      </c>
      <c r="D171" s="31">
        <v>0</v>
      </c>
      <c r="E171" s="38" t="s"/>
      <c r="F171" s="38" t="s"/>
      <c r="G171" s="38" t="s"/>
      <c r="H171" s="8" t="s"/>
      <c r="I171" s="8" t="s"/>
      <c r="J171" s="7">
        <v>0</v>
      </c>
      <c r="K171" s="26">
        <v>1</v>
      </c>
      <c r="L171" t="b">
        <f>=D171=J171</f>
        <v>1</v>
      </c>
    </row>
    <row r="172" spans="1:12">
      <c r="A172" s="33" t="s"/>
      <c r="B172" s="22" t="s">
        <v>14</v>
      </c>
      <c r="C172" s="9" t="s">
        <v>12</v>
      </c>
      <c r="D172" s="31">
        <v>1</v>
      </c>
      <c r="E172" s="38" t="s"/>
      <c r="F172" s="38" t="s"/>
      <c r="G172" s="38" t="s"/>
      <c r="H172" s="8" t="s"/>
      <c r="I172" s="8" t="s"/>
      <c r="J172" s="7">
        <v>1</v>
      </c>
      <c r="K172" s="26">
        <v>0</v>
      </c>
      <c r="L172" t="b">
        <f>=D172=J172</f>
        <v>1</v>
      </c>
    </row>
    <row r="173" spans="1:12">
      <c r="A173" s="33" t="s"/>
      <c r="B173" s="7" t="s">
        <v>14</v>
      </c>
      <c r="C173" s="9" t="s">
        <v>14</v>
      </c>
      <c r="D173" s="31">
        <v>1</v>
      </c>
      <c r="E173" s="38" t="s"/>
      <c r="F173" s="38" t="s"/>
      <c r="G173" s="38" t="s"/>
      <c r="H173" s="8" t="s"/>
      <c r="I173" s="8" t="s"/>
      <c r="J173" s="7">
        <v>1</v>
      </c>
      <c r="K173" s="26">
        <v>0</v>
      </c>
      <c r="L173" t="b">
        <f>=D173=J173</f>
        <v>1</v>
      </c>
    </row>
    <row r="174" spans="1:12">
      <c r="A174" s="33" t="s"/>
      <c r="B174" s="22" t="s">
        <v>14</v>
      </c>
      <c r="C174" s="9" t="s">
        <v>16</v>
      </c>
      <c r="D174" s="31">
        <v>0</v>
      </c>
      <c r="E174" s="38" t="s"/>
      <c r="F174" s="38" t="s"/>
      <c r="G174" s="38" t="s"/>
      <c r="H174" s="8" t="s"/>
      <c r="I174" s="8" t="s"/>
      <c r="J174" s="7">
        <v>0</v>
      </c>
      <c r="K174" s="26">
        <v>1</v>
      </c>
      <c r="L174" t="b">
        <f>=D174=J174</f>
        <v>1</v>
      </c>
    </row>
    <row r="175" spans="1:12">
      <c r="A175" s="33" t="s"/>
      <c r="B175" s="22" t="s">
        <v>14</v>
      </c>
      <c r="C175" s="9" t="s">
        <v>18</v>
      </c>
      <c r="D175" s="31">
        <v>0</v>
      </c>
      <c r="E175" s="38" t="s"/>
      <c r="F175" s="38" t="s"/>
      <c r="G175" s="38" t="s"/>
      <c r="H175" s="8" t="s"/>
      <c r="I175" s="8" t="s"/>
      <c r="J175" s="7">
        <v>0</v>
      </c>
      <c r="K175" s="26">
        <v>0</v>
      </c>
      <c r="L175" t="b">
        <f>=D175=J175</f>
        <v>1</v>
      </c>
    </row>
    <row r="176" spans="1:12">
      <c r="A176" s="33" t="s"/>
      <c r="B176" s="22" t="s">
        <v>14</v>
      </c>
      <c r="C176" s="9" t="s">
        <v>20</v>
      </c>
      <c r="D176" s="31">
        <v>0</v>
      </c>
      <c r="E176" s="38" t="s"/>
      <c r="F176" s="38" t="s"/>
      <c r="G176" s="38" t="s"/>
      <c r="H176" s="8" t="s"/>
      <c r="I176" s="8" t="s"/>
      <c r="J176" s="7">
        <v>0</v>
      </c>
      <c r="K176" s="26">
        <v>0</v>
      </c>
      <c r="L176" t="b">
        <f>=D176=J176</f>
        <v>1</v>
      </c>
    </row>
    <row r="177" spans="1:12">
      <c r="A177" s="33" t="s"/>
      <c r="B177" s="22" t="s">
        <v>14</v>
      </c>
      <c r="C177" s="9" t="s">
        <v>22</v>
      </c>
      <c r="D177" s="31">
        <v>1</v>
      </c>
      <c r="E177" s="38" t="s"/>
      <c r="F177" s="38" t="s"/>
      <c r="G177" s="38" t="s"/>
      <c r="H177" s="8" t="s"/>
      <c r="I177" s="8" t="s"/>
      <c r="J177" s="7">
        <v>1</v>
      </c>
      <c r="K177" s="26">
        <v>0</v>
      </c>
      <c r="L177" t="b">
        <f>=D177=J177</f>
        <v>1</v>
      </c>
    </row>
    <row r="178" spans="1:12">
      <c r="A178" s="33" t="s"/>
      <c r="B178" s="22" t="s">
        <v>14</v>
      </c>
      <c r="C178" s="9" t="s">
        <v>24</v>
      </c>
      <c r="D178" s="31">
        <v>0</v>
      </c>
      <c r="E178" s="38" t="s"/>
      <c r="F178" s="38" t="s"/>
      <c r="G178" s="38" t="s"/>
      <c r="H178" s="8" t="s"/>
      <c r="I178" s="8" t="s"/>
      <c r="J178" s="7">
        <v>0</v>
      </c>
      <c r="K178" s="26">
        <v>1</v>
      </c>
      <c r="L178" t="b">
        <f>=D178=J178</f>
        <v>1</v>
      </c>
    </row>
    <row r="179" spans="1:12">
      <c r="A179" s="33" t="s"/>
      <c r="B179" s="22" t="s">
        <v>16</v>
      </c>
      <c r="C179" s="9" t="s">
        <v>12</v>
      </c>
      <c r="D179" s="31">
        <v>0</v>
      </c>
      <c r="E179" s="38" t="s"/>
      <c r="F179" s="38" t="s"/>
      <c r="G179" s="38" t="s"/>
      <c r="H179" s="8" t="s"/>
      <c r="I179" s="8" t="s"/>
      <c r="J179" s="7">
        <v>0</v>
      </c>
      <c r="K179" s="26">
        <v>0</v>
      </c>
      <c r="L179" t="b">
        <f>=D179=J179</f>
        <v>1</v>
      </c>
    </row>
    <row r="180" spans="1:12">
      <c r="A180" s="33" t="s"/>
      <c r="B180" s="22" t="s">
        <v>16</v>
      </c>
      <c r="C180" s="9" t="s">
        <v>14</v>
      </c>
      <c r="D180" s="31">
        <v>0</v>
      </c>
      <c r="E180" s="38" t="s"/>
      <c r="F180" s="38" t="s"/>
      <c r="G180" s="38" t="s"/>
      <c r="H180" s="8" t="s"/>
      <c r="I180" s="8" t="s"/>
      <c r="J180" s="7">
        <v>0</v>
      </c>
      <c r="K180" s="26">
        <v>0</v>
      </c>
      <c r="L180" t="b">
        <f>=D180=J180</f>
        <v>1</v>
      </c>
    </row>
    <row r="181" spans="1:12">
      <c r="A181" s="33" t="s"/>
      <c r="B181" s="22" t="s">
        <v>16</v>
      </c>
      <c r="C181" s="9" t="s">
        <v>16</v>
      </c>
      <c r="D181" s="31">
        <v>1</v>
      </c>
      <c r="E181" s="38" t="s"/>
      <c r="F181" s="38" t="s"/>
      <c r="G181" s="38" t="s"/>
      <c r="H181" s="8" t="s"/>
      <c r="I181" s="8" t="s"/>
      <c r="J181" s="7">
        <v>1</v>
      </c>
      <c r="K181" s="26">
        <v>0</v>
      </c>
      <c r="L181" t="b">
        <f>=D181=J181</f>
        <v>1</v>
      </c>
    </row>
    <row r="182" spans="1:12">
      <c r="A182" s="33" t="s"/>
      <c r="B182" s="22" t="s">
        <v>16</v>
      </c>
      <c r="C182" s="9" t="s">
        <v>18</v>
      </c>
      <c r="D182" s="31">
        <v>0</v>
      </c>
      <c r="E182" s="38" t="s"/>
      <c r="F182" s="38" t="s"/>
      <c r="G182" s="38" t="s"/>
      <c r="H182" s="8" t="s"/>
      <c r="I182" s="8" t="s"/>
      <c r="J182" s="7">
        <v>0</v>
      </c>
      <c r="K182" s="26">
        <v>0</v>
      </c>
      <c r="L182" t="b">
        <f>=D182=J182</f>
        <v>1</v>
      </c>
    </row>
    <row r="183" spans="1:12">
      <c r="A183" s="33" t="s"/>
      <c r="B183" s="22" t="s">
        <v>16</v>
      </c>
      <c r="C183" s="9" t="s">
        <v>20</v>
      </c>
      <c r="D183" s="31">
        <v>0</v>
      </c>
      <c r="E183" s="38" t="s"/>
      <c r="F183" s="38" t="s"/>
      <c r="G183" s="38" t="s"/>
      <c r="H183" s="8" t="s"/>
      <c r="I183" s="8" t="s"/>
      <c r="J183" s="7">
        <v>0</v>
      </c>
      <c r="K183" s="26">
        <v>0</v>
      </c>
      <c r="L183" t="b">
        <f>=D183=J183</f>
        <v>1</v>
      </c>
    </row>
    <row r="184" spans="1:12">
      <c r="A184" s="33" t="s"/>
      <c r="B184" s="22" t="s">
        <v>16</v>
      </c>
      <c r="C184" s="9" t="s">
        <v>22</v>
      </c>
      <c r="D184" s="31">
        <v>0</v>
      </c>
      <c r="E184" s="38" t="s"/>
      <c r="F184" s="38" t="s"/>
      <c r="G184" s="38" t="s"/>
      <c r="H184" s="8" t="s"/>
      <c r="I184" s="8" t="s"/>
      <c r="J184" s="7">
        <v>0</v>
      </c>
      <c r="K184" s="26">
        <v>0</v>
      </c>
      <c r="L184" t="b">
        <f>=D184=J184</f>
        <v>1</v>
      </c>
    </row>
    <row r="185" spans="1:12">
      <c r="A185" s="33" t="s"/>
      <c r="B185" s="22" t="s">
        <v>16</v>
      </c>
      <c r="C185" s="9" t="s">
        <v>24</v>
      </c>
      <c r="D185" s="31">
        <v>1</v>
      </c>
      <c r="E185" s="38" t="s"/>
      <c r="F185" s="38" t="s"/>
      <c r="G185" s="38" t="s"/>
      <c r="H185" s="8" t="s"/>
      <c r="I185" s="8" t="s"/>
      <c r="J185" s="7">
        <v>1</v>
      </c>
      <c r="K185" s="26">
        <v>0</v>
      </c>
      <c r="L185" t="b">
        <f>=D185=J185</f>
        <v>1</v>
      </c>
    </row>
    <row r="186" spans="1:12">
      <c r="A186" s="33" t="s"/>
      <c r="B186" s="22" t="s">
        <v>18</v>
      </c>
      <c r="C186" s="9" t="s">
        <v>12</v>
      </c>
      <c r="D186" s="31">
        <v>0</v>
      </c>
      <c r="E186" s="38" t="s"/>
      <c r="F186" s="38" t="s"/>
      <c r="G186" s="38" t="s"/>
      <c r="H186" s="8" t="s"/>
      <c r="I186" s="8" t="s"/>
      <c r="J186" s="7">
        <v>0</v>
      </c>
      <c r="K186" s="26">
        <v>1</v>
      </c>
      <c r="L186" t="b">
        <f>=D186=J186</f>
        <v>1</v>
      </c>
    </row>
    <row r="187" spans="1:12">
      <c r="A187" s="33" t="s"/>
      <c r="B187" s="22" t="s">
        <v>18</v>
      </c>
      <c r="C187" s="9" t="s">
        <v>14</v>
      </c>
      <c r="D187" s="31">
        <v>0</v>
      </c>
      <c r="E187" s="38" t="s"/>
      <c r="F187" s="38" t="s"/>
      <c r="G187" s="38" t="s"/>
      <c r="H187" s="8" t="s"/>
      <c r="I187" s="8" t="s"/>
      <c r="J187" s="7">
        <v>0</v>
      </c>
      <c r="K187" s="26">
        <v>1</v>
      </c>
      <c r="L187" t="b">
        <f>=D187=J187</f>
        <v>1</v>
      </c>
    </row>
    <row r="188" spans="1:12">
      <c r="A188" s="33" t="s"/>
      <c r="B188" s="22" t="s">
        <v>18</v>
      </c>
      <c r="C188" s="9" t="s">
        <v>16</v>
      </c>
      <c r="D188" s="31">
        <v>0</v>
      </c>
      <c r="E188" s="38" t="s"/>
      <c r="F188" s="38" t="s"/>
      <c r="G188" s="38" t="s"/>
      <c r="H188" s="8" t="s"/>
      <c r="I188" s="8" t="s"/>
      <c r="J188" s="7">
        <v>0</v>
      </c>
      <c r="K188" s="26">
        <v>1</v>
      </c>
      <c r="L188" t="b">
        <f>=D188=J188</f>
        <v>1</v>
      </c>
    </row>
    <row r="189" spans="1:12">
      <c r="A189" s="33" t="s"/>
      <c r="B189" s="22" t="s">
        <v>18</v>
      </c>
      <c r="C189" s="9" t="s">
        <v>18</v>
      </c>
      <c r="D189" s="31">
        <v>1</v>
      </c>
      <c r="E189" s="38" t="s"/>
      <c r="F189" s="38" t="s"/>
      <c r="G189" s="38" t="s"/>
      <c r="H189" s="8" t="s"/>
      <c r="I189" s="8" t="s"/>
      <c r="J189" s="7">
        <v>1</v>
      </c>
      <c r="K189" s="26">
        <v>0</v>
      </c>
      <c r="L189" t="b">
        <f>=D189=J189</f>
        <v>1</v>
      </c>
    </row>
    <row r="190" spans="1:12">
      <c r="A190" s="33" t="s"/>
      <c r="B190" s="22" t="s">
        <v>18</v>
      </c>
      <c r="C190" s="9" t="s">
        <v>20</v>
      </c>
      <c r="D190" s="31">
        <v>1</v>
      </c>
      <c r="E190" s="38" t="s"/>
      <c r="F190" s="38" t="s"/>
      <c r="G190" s="38" t="s"/>
      <c r="H190" s="8" t="s"/>
      <c r="I190" s="8" t="s"/>
      <c r="J190" s="7">
        <v>1</v>
      </c>
      <c r="K190" s="26">
        <v>0</v>
      </c>
      <c r="L190" t="b">
        <f>=D190=J190</f>
        <v>1</v>
      </c>
    </row>
    <row r="191" spans="1:12">
      <c r="A191" s="33" t="s"/>
      <c r="B191" s="22" t="s">
        <v>18</v>
      </c>
      <c r="C191" s="9" t="s">
        <v>22</v>
      </c>
      <c r="D191" s="31">
        <v>0</v>
      </c>
      <c r="E191" s="38" t="s"/>
      <c r="F191" s="38" t="s"/>
      <c r="G191" s="38" t="s"/>
      <c r="H191" s="8" t="s"/>
      <c r="I191" s="8" t="s"/>
      <c r="J191" s="7">
        <v>0</v>
      </c>
      <c r="K191" s="26">
        <v>1</v>
      </c>
      <c r="L191" t="b">
        <f>=D191=J191</f>
        <v>1</v>
      </c>
    </row>
    <row r="192" spans="1:12">
      <c r="A192" s="33" t="s"/>
      <c r="B192" s="22" t="s">
        <v>18</v>
      </c>
      <c r="C192" s="9" t="s">
        <v>24</v>
      </c>
      <c r="D192" s="31">
        <v>0</v>
      </c>
      <c r="E192" s="38" t="s"/>
      <c r="F192" s="38" t="s"/>
      <c r="G192" s="38" t="s"/>
      <c r="H192" s="8" t="s"/>
      <c r="I192" s="8" t="s"/>
      <c r="J192" s="7">
        <v>0</v>
      </c>
      <c r="K192" s="26">
        <v>1</v>
      </c>
      <c r="L192" t="b">
        <f>=D192=J192</f>
        <v>1</v>
      </c>
    </row>
    <row r="193" spans="1:12">
      <c r="A193" s="33" t="s"/>
      <c r="B193" s="22" t="s">
        <v>20</v>
      </c>
      <c r="C193" s="9" t="s">
        <v>12</v>
      </c>
      <c r="D193" s="31">
        <v>0</v>
      </c>
      <c r="E193" s="38" t="s"/>
      <c r="F193" s="38" t="s"/>
      <c r="G193" s="38" t="s"/>
      <c r="H193" s="8" t="s"/>
      <c r="I193" s="8" t="s"/>
      <c r="J193" s="7">
        <v>0</v>
      </c>
      <c r="K193" s="26">
        <v>1</v>
      </c>
      <c r="L193" t="b">
        <f>=D193=J193</f>
        <v>1</v>
      </c>
    </row>
    <row r="194" spans="1:12">
      <c r="A194" s="33" t="s"/>
      <c r="B194" s="22" t="s">
        <v>20</v>
      </c>
      <c r="C194" s="9" t="s">
        <v>14</v>
      </c>
      <c r="D194" s="31">
        <v>0</v>
      </c>
      <c r="E194" s="38" t="s"/>
      <c r="F194" s="38" t="s"/>
      <c r="G194" s="38" t="s"/>
      <c r="H194" s="8" t="s"/>
      <c r="I194" s="8" t="s"/>
      <c r="J194" s="7">
        <v>0</v>
      </c>
      <c r="K194" s="26">
        <v>1</v>
      </c>
      <c r="L194" t="b">
        <f>=D194=J194</f>
        <v>1</v>
      </c>
    </row>
    <row r="195" spans="1:12">
      <c r="A195" s="33" t="s"/>
      <c r="B195" s="22" t="s">
        <v>20</v>
      </c>
      <c r="C195" s="9" t="s">
        <v>16</v>
      </c>
      <c r="D195" s="31">
        <v>0</v>
      </c>
      <c r="E195" s="38" t="s"/>
      <c r="F195" s="38" t="s"/>
      <c r="G195" s="38" t="s"/>
      <c r="H195" s="8" t="s"/>
      <c r="I195" s="8" t="s"/>
      <c r="J195" s="7">
        <v>0</v>
      </c>
      <c r="K195" s="26">
        <v>1</v>
      </c>
      <c r="L195" t="b">
        <f>=D195=J195</f>
        <v>1</v>
      </c>
    </row>
    <row r="196" spans="1:12">
      <c r="A196" s="33" t="s"/>
      <c r="B196" s="22" t="s">
        <v>20</v>
      </c>
      <c r="C196" s="9" t="s">
        <v>18</v>
      </c>
      <c r="D196" s="31">
        <v>1</v>
      </c>
      <c r="E196" s="38" t="s"/>
      <c r="F196" s="38" t="s"/>
      <c r="G196" s="38" t="s"/>
      <c r="H196" s="8" t="s"/>
      <c r="I196" s="8" t="s"/>
      <c r="J196" s="7">
        <v>1</v>
      </c>
      <c r="K196" s="26">
        <v>0</v>
      </c>
      <c r="L196" t="b">
        <f>=D196=J196</f>
        <v>1</v>
      </c>
    </row>
    <row r="197" spans="1:12">
      <c r="A197" s="33" t="s"/>
      <c r="B197" s="22" t="s">
        <v>20</v>
      </c>
      <c r="C197" s="9" t="s">
        <v>20</v>
      </c>
      <c r="D197" s="31">
        <v>1</v>
      </c>
      <c r="E197" s="38" t="s"/>
      <c r="F197" s="38" t="s"/>
      <c r="G197" s="38" t="s"/>
      <c r="H197" s="8" t="s"/>
      <c r="I197" s="8" t="s"/>
      <c r="J197" s="7">
        <v>1</v>
      </c>
      <c r="K197" s="26">
        <v>0</v>
      </c>
      <c r="L197" t="b">
        <f>=D197=J197</f>
        <v>1</v>
      </c>
    </row>
    <row r="198" spans="1:12">
      <c r="A198" s="33" t="s"/>
      <c r="B198" s="22" t="s">
        <v>20</v>
      </c>
      <c r="C198" s="9" t="s">
        <v>22</v>
      </c>
      <c r="D198" s="31">
        <v>0</v>
      </c>
      <c r="E198" s="38" t="s"/>
      <c r="F198" s="38" t="s"/>
      <c r="G198" s="38" t="s"/>
      <c r="H198" s="8" t="s"/>
      <c r="I198" s="8" t="s"/>
      <c r="J198" s="7">
        <v>0</v>
      </c>
      <c r="K198" s="26">
        <v>1</v>
      </c>
      <c r="L198" t="b">
        <f>=D198=J198</f>
        <v>1</v>
      </c>
    </row>
    <row r="199" spans="1:12">
      <c r="A199" s="33" t="s"/>
      <c r="B199" s="22" t="s">
        <v>20</v>
      </c>
      <c r="C199" s="9" t="s">
        <v>24</v>
      </c>
      <c r="D199" s="31">
        <v>0</v>
      </c>
      <c r="E199" s="38" t="s"/>
      <c r="F199" s="38" t="s"/>
      <c r="G199" s="38" t="s"/>
      <c r="H199" s="8" t="s"/>
      <c r="I199" s="8" t="s"/>
      <c r="J199" s="7">
        <v>0</v>
      </c>
      <c r="K199" s="26">
        <v>1</v>
      </c>
      <c r="L199" t="b">
        <f>=D199=J199</f>
        <v>1</v>
      </c>
    </row>
    <row r="200" spans="1:12">
      <c r="A200" s="33" t="s"/>
      <c r="B200" s="22" t="s">
        <v>22</v>
      </c>
      <c r="C200" s="9" t="s">
        <v>12</v>
      </c>
      <c r="D200" s="31">
        <v>1</v>
      </c>
      <c r="E200" s="38" t="s"/>
      <c r="F200" s="38" t="s"/>
      <c r="G200" s="38" t="s"/>
      <c r="H200" s="8" t="s"/>
      <c r="I200" s="8" t="s"/>
      <c r="J200" s="7">
        <v>1</v>
      </c>
      <c r="K200" s="26">
        <v>0</v>
      </c>
      <c r="L200" t="b">
        <f>=D200=J200</f>
        <v>1</v>
      </c>
    </row>
    <row r="201" spans="1:12">
      <c r="A201" s="33" t="s"/>
      <c r="B201" s="22" t="s">
        <v>22</v>
      </c>
      <c r="C201" s="9" t="s">
        <v>14</v>
      </c>
      <c r="D201" s="31">
        <v>1</v>
      </c>
      <c r="E201" s="38" t="s"/>
      <c r="F201" s="38" t="s"/>
      <c r="G201" s="38" t="s"/>
      <c r="H201" s="8" t="s"/>
      <c r="I201" s="8" t="s"/>
      <c r="J201" s="7">
        <v>1</v>
      </c>
      <c r="K201" s="26">
        <v>0</v>
      </c>
      <c r="L201" t="b">
        <f>=D201=J201</f>
        <v>1</v>
      </c>
    </row>
    <row r="202" spans="1:12">
      <c r="A202" s="33" t="s"/>
      <c r="B202" s="22" t="s">
        <v>22</v>
      </c>
      <c r="C202" s="9" t="s">
        <v>16</v>
      </c>
      <c r="D202" s="31">
        <v>0</v>
      </c>
      <c r="E202" s="38" t="s"/>
      <c r="F202" s="38" t="s"/>
      <c r="G202" s="38" t="s"/>
      <c r="H202" s="8" t="s"/>
      <c r="I202" s="8" t="s"/>
      <c r="J202" s="7">
        <v>0</v>
      </c>
      <c r="K202" s="26">
        <v>1</v>
      </c>
      <c r="L202" t="b">
        <f>=D202=J202</f>
        <v>1</v>
      </c>
    </row>
    <row r="203" spans="1:12">
      <c r="A203" s="33" t="s"/>
      <c r="B203" s="22" t="s">
        <v>22</v>
      </c>
      <c r="C203" s="9" t="s">
        <v>18</v>
      </c>
      <c r="D203" s="31">
        <v>0</v>
      </c>
      <c r="E203" s="38" t="s"/>
      <c r="F203" s="38" t="s"/>
      <c r="G203" s="38" t="s"/>
      <c r="H203" s="8" t="s"/>
      <c r="I203" s="8" t="s"/>
      <c r="J203" s="7">
        <v>0</v>
      </c>
      <c r="K203" s="26">
        <v>0</v>
      </c>
      <c r="L203" t="b">
        <f>=D203=J203</f>
        <v>1</v>
      </c>
    </row>
    <row r="204" spans="1:12">
      <c r="A204" s="33" t="s"/>
      <c r="B204" s="22" t="s">
        <v>22</v>
      </c>
      <c r="C204" s="9" t="s">
        <v>20</v>
      </c>
      <c r="D204" s="31">
        <v>0</v>
      </c>
      <c r="E204" s="38" t="s"/>
      <c r="F204" s="38" t="s"/>
      <c r="G204" s="38" t="s"/>
      <c r="H204" s="8" t="s"/>
      <c r="I204" s="8" t="s"/>
      <c r="J204" s="7">
        <v>0</v>
      </c>
      <c r="K204" s="26">
        <v>0</v>
      </c>
      <c r="L204" t="b">
        <f>=D204=J204</f>
        <v>1</v>
      </c>
    </row>
    <row r="205" spans="1:12">
      <c r="A205" s="33" t="s"/>
      <c r="B205" s="22" t="s">
        <v>22</v>
      </c>
      <c r="C205" s="9" t="s">
        <v>22</v>
      </c>
      <c r="D205" s="31">
        <v>1</v>
      </c>
      <c r="E205" s="38" t="s"/>
      <c r="F205" s="38" t="s"/>
      <c r="G205" s="38" t="s"/>
      <c r="H205" s="8" t="s"/>
      <c r="I205" s="8" t="s"/>
      <c r="J205" s="7">
        <v>1</v>
      </c>
      <c r="K205" s="26">
        <v>0</v>
      </c>
      <c r="L205" t="b">
        <f>=D205=J205</f>
        <v>1</v>
      </c>
    </row>
    <row r="206" spans="1:12">
      <c r="A206" s="33" t="s"/>
      <c r="B206" s="22" t="s">
        <v>22</v>
      </c>
      <c r="C206" s="9" t="s">
        <v>24</v>
      </c>
      <c r="D206" s="31">
        <v>0</v>
      </c>
      <c r="E206" s="38" t="s"/>
      <c r="F206" s="38" t="s"/>
      <c r="G206" s="38" t="s"/>
      <c r="H206" s="8" t="s"/>
      <c r="I206" s="8" t="s"/>
      <c r="J206" s="7">
        <v>0</v>
      </c>
      <c r="K206" s="26">
        <v>1</v>
      </c>
      <c r="L206" t="b">
        <f>=D206=J206</f>
        <v>1</v>
      </c>
    </row>
    <row r="207" spans="1:12">
      <c r="A207" s="33" t="s"/>
      <c r="B207" s="22" t="s">
        <v>24</v>
      </c>
      <c r="C207" s="9" t="s">
        <v>12</v>
      </c>
      <c r="D207" s="31">
        <v>0</v>
      </c>
      <c r="E207" s="38" t="s"/>
      <c r="F207" s="38" t="s"/>
      <c r="G207" s="38" t="s"/>
      <c r="H207" s="8" t="s"/>
      <c r="I207" s="8" t="s"/>
      <c r="J207" s="7">
        <v>0</v>
      </c>
      <c r="K207" s="26">
        <v>0</v>
      </c>
      <c r="L207" t="b">
        <f>=D207=J207</f>
        <v>1</v>
      </c>
    </row>
    <row r="208" spans="1:12">
      <c r="A208" s="33" t="s"/>
      <c r="B208" s="22" t="s">
        <v>24</v>
      </c>
      <c r="C208" s="9" t="s">
        <v>14</v>
      </c>
      <c r="D208" s="31">
        <v>0</v>
      </c>
      <c r="E208" s="38" t="s"/>
      <c r="F208" s="38" t="s"/>
      <c r="G208" s="38" t="s"/>
      <c r="H208" s="8" t="s"/>
      <c r="I208" s="8" t="s"/>
      <c r="J208" s="7">
        <v>0</v>
      </c>
      <c r="K208" s="26">
        <v>0</v>
      </c>
      <c r="L208" t="b">
        <f>=D208=J208</f>
        <v>1</v>
      </c>
    </row>
    <row r="209" spans="1:12">
      <c r="A209" s="33" t="s"/>
      <c r="B209" s="22" t="s">
        <v>24</v>
      </c>
      <c r="C209" s="9" t="s">
        <v>16</v>
      </c>
      <c r="D209" s="31">
        <v>1</v>
      </c>
      <c r="E209" s="38" t="s"/>
      <c r="F209" s="38" t="s"/>
      <c r="G209" s="38" t="s"/>
      <c r="H209" s="8" t="s"/>
      <c r="I209" s="8" t="s"/>
      <c r="J209" s="7">
        <v>1</v>
      </c>
      <c r="K209" s="26">
        <v>0</v>
      </c>
      <c r="L209" t="b">
        <f>=D209=J209</f>
        <v>1</v>
      </c>
    </row>
    <row r="210" spans="1:12">
      <c r="A210" s="33" t="s"/>
      <c r="B210" s="22" t="s">
        <v>24</v>
      </c>
      <c r="C210" s="9" t="s">
        <v>18</v>
      </c>
      <c r="D210" s="31">
        <v>0</v>
      </c>
      <c r="E210" s="38" t="s"/>
      <c r="F210" s="38" t="s"/>
      <c r="G210" s="38" t="s"/>
      <c r="H210" s="8" t="s"/>
      <c r="I210" s="8" t="s"/>
      <c r="J210" s="7">
        <v>0</v>
      </c>
      <c r="K210" s="26">
        <v>0</v>
      </c>
      <c r="L210" t="b">
        <f>=D210=J210</f>
        <v>1</v>
      </c>
    </row>
    <row r="211" spans="1:12">
      <c r="A211" s="27" t="s"/>
      <c r="B211" s="22" t="s">
        <v>24</v>
      </c>
      <c r="C211" s="9" t="s">
        <v>20</v>
      </c>
      <c r="D211" s="71">
        <v>0</v>
      </c>
      <c r="E211" s="28" t="s"/>
      <c r="F211" s="38" t="s"/>
      <c r="G211" s="38" t="s"/>
      <c r="H211" s="8" t="s"/>
      <c r="I211" s="8" t="s"/>
      <c r="J211" s="7">
        <v>0</v>
      </c>
      <c r="K211" s="26">
        <v>0</v>
      </c>
      <c r="L211" t="b">
        <f>=D211=J211</f>
        <v>1</v>
      </c>
    </row>
    <row r="212" spans="1:12">
      <c r="A212" s="27" t="s"/>
      <c r="B212" s="22" t="s">
        <v>24</v>
      </c>
      <c r="C212" s="9" t="s">
        <v>22</v>
      </c>
      <c r="D212" s="24">
        <v>0</v>
      </c>
      <c r="E212" s="22" t="s"/>
      <c r="F212" s="22" t="s"/>
      <c r="G212" s="22" t="s"/>
      <c r="H212" s="8" t="s"/>
      <c r="I212" s="8" t="s"/>
      <c r="J212" s="7">
        <v>0</v>
      </c>
      <c r="K212" s="26">
        <v>0</v>
      </c>
      <c r="L212" t="b">
        <f>=D212=J212</f>
        <v>1</v>
      </c>
    </row>
    <row r="213" spans="1:12">
      <c r="A213" s="72" t="s"/>
      <c r="B213" s="22" t="s">
        <v>24</v>
      </c>
      <c r="C213" s="9" t="s">
        <v>24</v>
      </c>
      <c r="D213" s="73">
        <v>1</v>
      </c>
      <c r="E213" s="74" t="s"/>
      <c r="F213" s="75" t="s"/>
      <c r="G213" s="75" t="s"/>
      <c r="H213" s="34" t="s"/>
      <c r="I213" s="34" t="s"/>
      <c r="J213" s="7">
        <v>1</v>
      </c>
      <c r="K213" s="26">
        <v>0</v>
      </c>
      <c r="L213" t="b">
        <f>=D213=J213</f>
        <v>1</v>
      </c>
    </row>
    <row r="214" spans="1:12">
      <c r="A214" s="76" t="s">
        <v>36</v>
      </c>
      <c r="B214" s="12" t="s">
        <v>12</v>
      </c>
      <c r="C214" s="13" t="s">
        <v>12</v>
      </c>
      <c r="D214" s="77">
        <v>0</v>
      </c>
      <c r="E214" s="5" t="s"/>
      <c r="F214" s="5" t="s"/>
      <c r="G214" s="5" t="s"/>
      <c r="H214" s="25" t="s"/>
      <c r="I214" s="25" t="s"/>
      <c r="J214" s="78">
        <v>1</v>
      </c>
      <c r="K214" s="79">
        <v>0</v>
      </c>
      <c r="L214" t="b">
        <f>=OR(AND(D214=1,J214=0,K214=0),AND(D214=0,OR(J214=1,K214=1)))</f>
        <v>1</v>
      </c>
    </row>
    <row r="215" spans="1:12">
      <c r="A215" s="80" t="s"/>
      <c r="B215" s="22" t="s">
        <v>12</v>
      </c>
      <c r="C215" s="9" t="s">
        <v>14</v>
      </c>
      <c r="D215" s="77">
        <v>0</v>
      </c>
      <c r="E215" s="5" t="s"/>
      <c r="F215" s="5" t="s"/>
      <c r="G215" s="5" t="s"/>
      <c r="H215" s="25" t="s"/>
      <c r="I215" s="25" t="s"/>
      <c r="J215" s="81">
        <v>1</v>
      </c>
      <c r="K215" s="82">
        <v>0</v>
      </c>
      <c r="L215" t="b">
        <f>=OR(AND(D215=1,J215=0,K215=0),AND(D215=0,OR(J215=1,K215=1)))</f>
        <v>1</v>
      </c>
    </row>
    <row r="216" spans="1:12">
      <c r="A216" s="80" t="s"/>
      <c r="B216" s="28" t="s">
        <v>12</v>
      </c>
      <c r="C216" s="9" t="s">
        <v>16</v>
      </c>
      <c r="D216" s="77">
        <v>0</v>
      </c>
      <c r="E216" s="5" t="s"/>
      <c r="F216" s="5" t="s"/>
      <c r="G216" s="5" t="s"/>
      <c r="H216" s="25" t="s"/>
      <c r="I216" s="25" t="s"/>
      <c r="J216" s="81">
        <v>0</v>
      </c>
      <c r="K216" s="82">
        <v>1</v>
      </c>
      <c r="L216" t="b">
        <f>=OR(AND(D216=1,J216=0,K216=0),AND(D216=0,OR(J216=1,K216=1)))</f>
        <v>1</v>
      </c>
    </row>
    <row r="217" spans="1:12">
      <c r="A217" s="76" t="s"/>
      <c r="B217" s="28" t="s">
        <v>12</v>
      </c>
      <c r="C217" s="9" t="s">
        <v>18</v>
      </c>
      <c r="D217" s="77">
        <v>1</v>
      </c>
      <c r="E217" s="5" t="s"/>
      <c r="F217" s="5" t="s"/>
      <c r="G217" s="5" t="s"/>
      <c r="H217" s="25" t="s"/>
      <c r="I217" s="25" t="s"/>
      <c r="J217" s="83">
        <v>0</v>
      </c>
      <c r="K217" s="84">
        <v>0</v>
      </c>
      <c r="L217" t="b">
        <f>=OR(AND(D217=1,J217=0,K217=0),AND(D217=0,OR(J217=1,K217=1)))</f>
        <v>1</v>
      </c>
    </row>
    <row r="218" spans="1:12">
      <c r="A218" s="76" t="s"/>
      <c r="B218" s="28" t="s">
        <v>12</v>
      </c>
      <c r="C218" s="9" t="s">
        <v>20</v>
      </c>
      <c r="D218" s="77">
        <v>1</v>
      </c>
      <c r="E218" s="5" t="s"/>
      <c r="F218" s="5" t="s"/>
      <c r="G218" s="5" t="s"/>
      <c r="H218" s="25" t="s"/>
      <c r="I218" s="25" t="s"/>
      <c r="J218" s="83">
        <v>0</v>
      </c>
      <c r="K218" s="84">
        <v>0</v>
      </c>
      <c r="L218" t="b">
        <f>=OR(AND(D218=1,J218=0,K218=0),AND(D218=0,OR(J218=1,K218=1)))</f>
        <v>1</v>
      </c>
    </row>
    <row r="219" spans="1:12">
      <c r="A219" s="76" t="s"/>
      <c r="B219" s="22" t="s">
        <v>12</v>
      </c>
      <c r="C219" s="9" t="s">
        <v>22</v>
      </c>
      <c r="D219" s="77">
        <v>0</v>
      </c>
      <c r="E219" s="5" t="s"/>
      <c r="F219" s="5" t="s"/>
      <c r="G219" s="5" t="s"/>
      <c r="H219" s="25" t="s"/>
      <c r="I219" s="25" t="s"/>
      <c r="J219" s="83">
        <v>1</v>
      </c>
      <c r="K219" s="84">
        <v>0</v>
      </c>
      <c r="L219" t="b">
        <f>=OR(AND(D219=1,J219=0,K219=0),AND(D219=0,OR(J219=1,K219=1)))</f>
        <v>1</v>
      </c>
    </row>
    <row r="220" spans="1:12">
      <c r="A220" s="76" t="s"/>
      <c r="B220" s="22" t="s">
        <v>12</v>
      </c>
      <c r="C220" s="9" t="s">
        <v>24</v>
      </c>
      <c r="D220" s="77">
        <v>0</v>
      </c>
      <c r="E220" s="5" t="s"/>
      <c r="F220" s="5" t="s"/>
      <c r="G220" s="5" t="s"/>
      <c r="H220" s="25" t="s"/>
      <c r="I220" s="25" t="s"/>
      <c r="J220" s="83">
        <v>0</v>
      </c>
      <c r="K220" s="84">
        <v>1</v>
      </c>
      <c r="L220" t="b">
        <f>=OR(AND(D220=1,J220=0,K220=0),AND(D220=0,OR(J220=1,K220=1)))</f>
        <v>1</v>
      </c>
    </row>
    <row r="221" spans="1:12">
      <c r="A221" s="76" t="s"/>
      <c r="B221" s="22" t="s">
        <v>14</v>
      </c>
      <c r="C221" s="9" t="s">
        <v>12</v>
      </c>
      <c r="D221" s="77">
        <v>0</v>
      </c>
      <c r="E221" s="5" t="s"/>
      <c r="F221" s="5" t="s"/>
      <c r="G221" s="5" t="s"/>
      <c r="H221" s="25" t="s"/>
      <c r="I221" s="25" t="s"/>
      <c r="J221" s="83">
        <v>1</v>
      </c>
      <c r="K221" s="84">
        <v>0</v>
      </c>
      <c r="L221" t="b">
        <f>=OR(AND(D221=1,J221=0,K221=0),AND(D221=0,OR(J221=1,K221=1)))</f>
        <v>1</v>
      </c>
    </row>
    <row r="222" spans="1:12">
      <c r="A222" s="76" t="s"/>
      <c r="B222" s="7" t="s">
        <v>14</v>
      </c>
      <c r="C222" s="9" t="s">
        <v>14</v>
      </c>
      <c r="D222" s="77">
        <v>0</v>
      </c>
      <c r="E222" s="5" t="s"/>
      <c r="F222" s="5" t="s"/>
      <c r="G222" s="5" t="s"/>
      <c r="H222" s="25" t="s"/>
      <c r="I222" s="25" t="s"/>
      <c r="J222" s="83">
        <v>1</v>
      </c>
      <c r="K222" s="84">
        <v>0</v>
      </c>
      <c r="L222" t="b">
        <f>=OR(AND(D222=1,J222=0,K222=0),AND(D222=0,OR(J222=1,K222=1)))</f>
        <v>1</v>
      </c>
    </row>
    <row r="223" spans="1:12">
      <c r="A223" s="76" t="s"/>
      <c r="B223" s="22" t="s">
        <v>14</v>
      </c>
      <c r="C223" s="9" t="s">
        <v>16</v>
      </c>
      <c r="D223" s="77">
        <v>0</v>
      </c>
      <c r="E223" s="5" t="s"/>
      <c r="F223" s="5" t="s"/>
      <c r="G223" s="5" t="s"/>
      <c r="H223" s="25" t="s"/>
      <c r="I223" s="25" t="s"/>
      <c r="J223" s="83">
        <v>0</v>
      </c>
      <c r="K223" s="84">
        <v>1</v>
      </c>
      <c r="L223" t="b">
        <f>=OR(AND(D223=1,J223=0,K223=0),AND(D223=0,OR(J223=1,K223=1)))</f>
        <v>1</v>
      </c>
    </row>
    <row r="224" spans="1:12">
      <c r="A224" s="76" t="s"/>
      <c r="B224" s="22" t="s">
        <v>14</v>
      </c>
      <c r="C224" s="9" t="s">
        <v>18</v>
      </c>
      <c r="D224" s="77">
        <v>1</v>
      </c>
      <c r="E224" s="5" t="s"/>
      <c r="F224" s="5" t="s"/>
      <c r="G224" s="5" t="s"/>
      <c r="H224" s="25" t="s"/>
      <c r="I224" s="25" t="s"/>
      <c r="J224" s="83">
        <v>0</v>
      </c>
      <c r="K224" s="84">
        <v>0</v>
      </c>
      <c r="L224" t="b">
        <f>=OR(AND(D224=1,J224=0,K224=0),AND(D224=0,OR(J224=1,K224=1)))</f>
        <v>1</v>
      </c>
    </row>
    <row r="225" spans="1:12">
      <c r="A225" s="76" t="s"/>
      <c r="B225" s="22" t="s">
        <v>14</v>
      </c>
      <c r="C225" s="9" t="s">
        <v>20</v>
      </c>
      <c r="D225" s="77">
        <v>1</v>
      </c>
      <c r="E225" s="5" t="s"/>
      <c r="F225" s="5" t="s"/>
      <c r="G225" s="5" t="s"/>
      <c r="H225" s="25" t="s"/>
      <c r="I225" s="25" t="s"/>
      <c r="J225" s="83">
        <v>0</v>
      </c>
      <c r="K225" s="84">
        <v>0</v>
      </c>
      <c r="L225" t="b">
        <f>=OR(AND(D225=1,J225=0,K225=0),AND(D225=0,OR(J225=1,K225=1)))</f>
        <v>1</v>
      </c>
    </row>
    <row r="226" spans="1:12">
      <c r="A226" s="76" t="s"/>
      <c r="B226" s="22" t="s">
        <v>14</v>
      </c>
      <c r="C226" s="9" t="s">
        <v>22</v>
      </c>
      <c r="D226" s="77">
        <v>0</v>
      </c>
      <c r="E226" s="5" t="s"/>
      <c r="F226" s="5" t="s"/>
      <c r="G226" s="5" t="s"/>
      <c r="H226" s="25" t="s"/>
      <c r="I226" s="25" t="s"/>
      <c r="J226" s="83">
        <v>1</v>
      </c>
      <c r="K226" s="84">
        <v>0</v>
      </c>
      <c r="L226" t="b">
        <f>=OR(AND(D226=1,J226=0,K226=0),AND(D226=0,OR(J226=1,K226=1)))</f>
        <v>1</v>
      </c>
    </row>
    <row r="227" spans="1:12">
      <c r="A227" s="76" t="s"/>
      <c r="B227" s="22" t="s">
        <v>14</v>
      </c>
      <c r="C227" s="9" t="s">
        <v>24</v>
      </c>
      <c r="D227" s="77">
        <v>0</v>
      </c>
      <c r="E227" s="5" t="s"/>
      <c r="F227" s="5" t="s"/>
      <c r="G227" s="5" t="s"/>
      <c r="H227" s="25" t="s"/>
      <c r="I227" s="25" t="s"/>
      <c r="J227" s="83">
        <v>0</v>
      </c>
      <c r="K227" s="84">
        <v>1</v>
      </c>
      <c r="L227" t="b">
        <f>=OR(AND(D227=1,J227=0,K227=0),AND(D227=0,OR(J227=1,K227=1)))</f>
        <v>1</v>
      </c>
    </row>
    <row r="228" spans="1:12">
      <c r="A228" s="76" t="s"/>
      <c r="B228" s="22" t="s">
        <v>16</v>
      </c>
      <c r="C228" s="9" t="s">
        <v>12</v>
      </c>
      <c r="D228" s="77">
        <v>1</v>
      </c>
      <c r="E228" s="5" t="s"/>
      <c r="F228" s="5" t="s"/>
      <c r="G228" s="5" t="s"/>
      <c r="H228" s="25" t="s"/>
      <c r="I228" s="25" t="s"/>
      <c r="J228" s="83">
        <v>0</v>
      </c>
      <c r="K228" s="84">
        <v>0</v>
      </c>
      <c r="L228" t="b">
        <f>=OR(AND(D228=1,J228=0,K228=0),AND(D228=0,OR(J228=1,K228=1)))</f>
        <v>1</v>
      </c>
    </row>
    <row r="229" spans="1:12">
      <c r="A229" s="76" t="s"/>
      <c r="B229" s="22" t="s">
        <v>16</v>
      </c>
      <c r="C229" s="9" t="s">
        <v>14</v>
      </c>
      <c r="D229" s="77">
        <v>1</v>
      </c>
      <c r="E229" s="5" t="s"/>
      <c r="F229" s="5" t="s"/>
      <c r="G229" s="5" t="s"/>
      <c r="H229" s="25" t="s"/>
      <c r="I229" s="25" t="s"/>
      <c r="J229" s="83">
        <v>0</v>
      </c>
      <c r="K229" s="84">
        <v>0</v>
      </c>
      <c r="L229" t="b">
        <f>=OR(AND(D229=1,J229=0,K229=0),AND(D229=0,OR(J229=1,K229=1)))</f>
        <v>1</v>
      </c>
    </row>
    <row r="230" spans="1:12">
      <c r="A230" s="76" t="s"/>
      <c r="B230" s="22" t="s">
        <v>16</v>
      </c>
      <c r="C230" s="9" t="s">
        <v>16</v>
      </c>
      <c r="D230" s="77">
        <v>0</v>
      </c>
      <c r="E230" s="5" t="s"/>
      <c r="F230" s="5" t="s"/>
      <c r="G230" s="5" t="s"/>
      <c r="H230" s="25" t="s"/>
      <c r="I230" s="25" t="s"/>
      <c r="J230" s="83">
        <v>1</v>
      </c>
      <c r="K230" s="84">
        <v>0</v>
      </c>
      <c r="L230" t="b">
        <f>=OR(AND(D230=1,J230=0,K230=0),AND(D230=0,OR(J230=1,K230=1)))</f>
        <v>1</v>
      </c>
    </row>
    <row r="231" spans="1:12">
      <c r="A231" s="76" t="s"/>
      <c r="B231" s="22" t="s">
        <v>16</v>
      </c>
      <c r="C231" s="9" t="s">
        <v>18</v>
      </c>
      <c r="D231" s="77">
        <v>1</v>
      </c>
      <c r="E231" s="5" t="s"/>
      <c r="F231" s="5" t="s"/>
      <c r="G231" s="5" t="s"/>
      <c r="H231" s="25" t="s"/>
      <c r="I231" s="25" t="s"/>
      <c r="J231" s="83">
        <v>0</v>
      </c>
      <c r="K231" s="84">
        <v>0</v>
      </c>
      <c r="L231" t="b">
        <f>=OR(AND(D231=1,J231=0,K231=0),AND(D231=0,OR(J231=1,K231=1)))</f>
        <v>1</v>
      </c>
    </row>
    <row r="232" spans="1:12">
      <c r="A232" s="76" t="s"/>
      <c r="B232" s="22" t="s">
        <v>16</v>
      </c>
      <c r="C232" s="9" t="s">
        <v>20</v>
      </c>
      <c r="D232" s="77">
        <v>1</v>
      </c>
      <c r="E232" s="5" t="s"/>
      <c r="F232" s="5" t="s"/>
      <c r="G232" s="5" t="s"/>
      <c r="H232" s="25" t="s"/>
      <c r="I232" s="25" t="s"/>
      <c r="J232" s="83">
        <v>0</v>
      </c>
      <c r="K232" s="84">
        <v>0</v>
      </c>
      <c r="L232" t="b">
        <f>=OR(AND(D232=1,J232=0,K232=0),AND(D232=0,OR(J232=1,K232=1)))</f>
        <v>1</v>
      </c>
    </row>
    <row r="233" spans="1:12">
      <c r="A233" s="76" t="s"/>
      <c r="B233" s="22" t="s">
        <v>16</v>
      </c>
      <c r="C233" s="9" t="s">
        <v>22</v>
      </c>
      <c r="D233" s="77">
        <v>1</v>
      </c>
      <c r="E233" s="5" t="s"/>
      <c r="F233" s="5" t="s"/>
      <c r="G233" s="5" t="s"/>
      <c r="H233" s="25" t="s"/>
      <c r="I233" s="25" t="s"/>
      <c r="J233" s="83">
        <v>0</v>
      </c>
      <c r="K233" s="84">
        <v>0</v>
      </c>
      <c r="L233" t="b">
        <f>=OR(AND(D233=1,J233=0,K233=0),AND(D233=0,OR(J233=1,K233=1)))</f>
        <v>1</v>
      </c>
    </row>
    <row r="234" spans="1:12">
      <c r="A234" s="76" t="s"/>
      <c r="B234" s="22" t="s">
        <v>16</v>
      </c>
      <c r="C234" s="9" t="s">
        <v>24</v>
      </c>
      <c r="D234" s="77">
        <v>0</v>
      </c>
      <c r="E234" s="5" t="s"/>
      <c r="F234" s="5" t="s"/>
      <c r="G234" s="5" t="s"/>
      <c r="H234" s="25" t="s"/>
      <c r="I234" s="25" t="s"/>
      <c r="J234" s="83">
        <v>1</v>
      </c>
      <c r="K234" s="84">
        <v>0</v>
      </c>
      <c r="L234" t="b">
        <f>=OR(AND(D234=1,J234=0,K234=0),AND(D234=0,OR(J234=1,K234=1)))</f>
        <v>1</v>
      </c>
    </row>
    <row r="235" spans="1:12">
      <c r="A235" s="76" t="s"/>
      <c r="B235" s="22" t="s">
        <v>18</v>
      </c>
      <c r="C235" s="9" t="s">
        <v>12</v>
      </c>
      <c r="D235" s="77">
        <v>0</v>
      </c>
      <c r="E235" s="5" t="s"/>
      <c r="F235" s="5" t="s"/>
      <c r="G235" s="5" t="s"/>
      <c r="H235" s="25" t="s"/>
      <c r="I235" s="25" t="s"/>
      <c r="J235" s="83">
        <v>0</v>
      </c>
      <c r="K235" s="84">
        <v>1</v>
      </c>
      <c r="L235" t="b">
        <f>=OR(AND(D235=1,J235=0,K235=0),AND(D235=0,OR(J235=1,K235=1)))</f>
        <v>1</v>
      </c>
    </row>
    <row r="236" spans="1:12">
      <c r="A236" s="76" t="s"/>
      <c r="B236" s="22" t="s">
        <v>18</v>
      </c>
      <c r="C236" s="9" t="s">
        <v>14</v>
      </c>
      <c r="D236" s="77">
        <v>0</v>
      </c>
      <c r="E236" s="5" t="s"/>
      <c r="F236" s="5" t="s"/>
      <c r="G236" s="5" t="s"/>
      <c r="H236" s="25" t="s"/>
      <c r="I236" s="25" t="s"/>
      <c r="J236" s="83">
        <v>0</v>
      </c>
      <c r="K236" s="84">
        <v>1</v>
      </c>
      <c r="L236" t="b">
        <f>=OR(AND(D236=1,J236=0,K236=0),AND(D236=0,OR(J236=1,K236=1)))</f>
        <v>1</v>
      </c>
    </row>
    <row r="237" spans="1:12">
      <c r="A237" s="76" t="s"/>
      <c r="B237" s="22" t="s">
        <v>18</v>
      </c>
      <c r="C237" s="9" t="s">
        <v>16</v>
      </c>
      <c r="D237" s="77">
        <v>0</v>
      </c>
      <c r="E237" s="5" t="s"/>
      <c r="F237" s="5" t="s"/>
      <c r="G237" s="5" t="s"/>
      <c r="H237" s="25" t="s"/>
      <c r="I237" s="25" t="s"/>
      <c r="J237" s="83">
        <v>0</v>
      </c>
      <c r="K237" s="84">
        <v>1</v>
      </c>
      <c r="L237" t="b">
        <f>=OR(AND(D237=1,J237=0,K237=0),AND(D237=0,OR(J237=1,K237=1)))</f>
        <v>1</v>
      </c>
    </row>
    <row r="238" spans="1:12">
      <c r="A238" s="76" t="s"/>
      <c r="B238" s="22" t="s">
        <v>18</v>
      </c>
      <c r="C238" s="9" t="s">
        <v>18</v>
      </c>
      <c r="D238" s="77">
        <v>0</v>
      </c>
      <c r="E238" s="5" t="s"/>
      <c r="F238" s="5" t="s"/>
      <c r="G238" s="5" t="s"/>
      <c r="H238" s="25" t="s"/>
      <c r="I238" s="25" t="s"/>
      <c r="J238" s="83">
        <v>1</v>
      </c>
      <c r="K238" s="84">
        <v>0</v>
      </c>
      <c r="L238" t="b">
        <f>=OR(AND(D238=1,J238=0,K238=0),AND(D238=0,OR(J238=1,K238=1)))</f>
        <v>1</v>
      </c>
    </row>
    <row r="239" spans="1:12">
      <c r="A239" s="76" t="s"/>
      <c r="B239" s="22" t="s">
        <v>18</v>
      </c>
      <c r="C239" s="9" t="s">
        <v>20</v>
      </c>
      <c r="D239" s="77">
        <v>0</v>
      </c>
      <c r="E239" s="5" t="s"/>
      <c r="F239" s="5" t="s"/>
      <c r="G239" s="5" t="s"/>
      <c r="H239" s="25" t="s"/>
      <c r="I239" s="25" t="s"/>
      <c r="J239" s="83">
        <v>1</v>
      </c>
      <c r="K239" s="84">
        <v>0</v>
      </c>
      <c r="L239" t="b">
        <f>=OR(AND(D239=1,J239=0,K239=0),AND(D239=0,OR(J239=1,K239=1)))</f>
        <v>1</v>
      </c>
    </row>
    <row r="240" spans="1:12">
      <c r="A240" s="76" t="s"/>
      <c r="B240" s="22" t="s">
        <v>18</v>
      </c>
      <c r="C240" s="9" t="s">
        <v>22</v>
      </c>
      <c r="D240" s="77">
        <v>0</v>
      </c>
      <c r="E240" s="5" t="s"/>
      <c r="F240" s="5" t="s"/>
      <c r="G240" s="5" t="s"/>
      <c r="H240" s="25" t="s"/>
      <c r="I240" s="25" t="s"/>
      <c r="J240" s="83">
        <v>0</v>
      </c>
      <c r="K240" s="84">
        <v>1</v>
      </c>
      <c r="L240" t="b">
        <f>=OR(AND(D240=1,J240=0,K240=0),AND(D240=0,OR(J240=1,K240=1)))</f>
        <v>1</v>
      </c>
    </row>
    <row r="241" spans="1:12">
      <c r="A241" s="76" t="s"/>
      <c r="B241" s="22" t="s">
        <v>18</v>
      </c>
      <c r="C241" s="9" t="s">
        <v>24</v>
      </c>
      <c r="D241" s="77">
        <v>0</v>
      </c>
      <c r="E241" s="5" t="s"/>
      <c r="F241" s="5" t="s"/>
      <c r="G241" s="5" t="s"/>
      <c r="H241" s="25" t="s"/>
      <c r="I241" s="25" t="s"/>
      <c r="J241" s="83">
        <v>0</v>
      </c>
      <c r="K241" s="84">
        <v>1</v>
      </c>
      <c r="L241" t="b">
        <f>=OR(AND(D241=1,J241=0,K241=0),AND(D241=0,OR(J241=1,K241=1)))</f>
        <v>1</v>
      </c>
    </row>
    <row r="242" spans="1:12">
      <c r="A242" s="76" t="s"/>
      <c r="B242" s="22" t="s">
        <v>20</v>
      </c>
      <c r="C242" s="9" t="s">
        <v>12</v>
      </c>
      <c r="D242" s="77">
        <v>0</v>
      </c>
      <c r="E242" s="5" t="s"/>
      <c r="F242" s="5" t="s"/>
      <c r="G242" s="5" t="s"/>
      <c r="H242" s="25" t="s"/>
      <c r="I242" s="25" t="s"/>
      <c r="J242" s="83">
        <v>0</v>
      </c>
      <c r="K242" s="84">
        <v>1</v>
      </c>
      <c r="L242" t="b">
        <f>=OR(AND(D242=1,J242=0,K242=0),AND(D242=0,OR(J242=1,K242=1)))</f>
        <v>1</v>
      </c>
    </row>
    <row r="243" spans="1:12">
      <c r="A243" s="76" t="s"/>
      <c r="B243" s="22" t="s">
        <v>20</v>
      </c>
      <c r="C243" s="9" t="s">
        <v>14</v>
      </c>
      <c r="D243" s="77">
        <v>0</v>
      </c>
      <c r="E243" s="5" t="s"/>
      <c r="F243" s="5" t="s"/>
      <c r="G243" s="5" t="s"/>
      <c r="H243" s="25" t="s"/>
      <c r="I243" s="25" t="s"/>
      <c r="J243" s="83">
        <v>0</v>
      </c>
      <c r="K243" s="84">
        <v>1</v>
      </c>
      <c r="L243" t="b">
        <f>=OR(AND(D243=1,J243=0,K243=0),AND(D243=0,OR(J243=1,K243=1)))</f>
        <v>1</v>
      </c>
    </row>
    <row r="244" spans="1:12">
      <c r="A244" s="76" t="s"/>
      <c r="B244" s="22" t="s">
        <v>20</v>
      </c>
      <c r="C244" s="9" t="s">
        <v>16</v>
      </c>
      <c r="D244" s="77">
        <v>0</v>
      </c>
      <c r="E244" s="5" t="s"/>
      <c r="F244" s="5" t="s"/>
      <c r="G244" s="5" t="s"/>
      <c r="H244" s="25" t="s"/>
      <c r="I244" s="25" t="s"/>
      <c r="J244" s="83">
        <v>0</v>
      </c>
      <c r="K244" s="84">
        <v>1</v>
      </c>
      <c r="L244" t="b">
        <f>=OR(AND(D244=1,J244=0,K244=0),AND(D244=0,OR(J244=1,K244=1)))</f>
        <v>1</v>
      </c>
    </row>
    <row r="245" spans="1:12">
      <c r="A245" s="76" t="s"/>
      <c r="B245" s="22" t="s">
        <v>20</v>
      </c>
      <c r="C245" s="9" t="s">
        <v>18</v>
      </c>
      <c r="D245" s="77">
        <v>0</v>
      </c>
      <c r="E245" s="5" t="s"/>
      <c r="F245" s="5" t="s"/>
      <c r="G245" s="5" t="s"/>
      <c r="H245" s="25" t="s"/>
      <c r="I245" s="25" t="s"/>
      <c r="J245" s="83">
        <v>1</v>
      </c>
      <c r="K245" s="84">
        <v>0</v>
      </c>
      <c r="L245" t="b">
        <f>=OR(AND(D245=1,J245=0,K245=0),AND(D245=0,OR(J245=1,K245=1)))</f>
        <v>1</v>
      </c>
    </row>
    <row r="246" spans="1:12">
      <c r="A246" s="76" t="s"/>
      <c r="B246" s="22" t="s">
        <v>20</v>
      </c>
      <c r="C246" s="9" t="s">
        <v>20</v>
      </c>
      <c r="D246" s="77">
        <v>0</v>
      </c>
      <c r="E246" s="5" t="s"/>
      <c r="F246" s="5" t="s"/>
      <c r="G246" s="5" t="s"/>
      <c r="H246" s="25" t="s"/>
      <c r="I246" s="25" t="s"/>
      <c r="J246" s="83">
        <v>1</v>
      </c>
      <c r="K246" s="84">
        <v>0</v>
      </c>
      <c r="L246" t="b">
        <f>=OR(AND(D246=1,J246=0,K246=0),AND(D246=0,OR(J246=1,K246=1)))</f>
        <v>1</v>
      </c>
    </row>
    <row r="247" spans="1:12">
      <c r="A247" s="76" t="s"/>
      <c r="B247" s="22" t="s">
        <v>20</v>
      </c>
      <c r="C247" s="9" t="s">
        <v>22</v>
      </c>
      <c r="D247" s="77">
        <v>0</v>
      </c>
      <c r="E247" s="5" t="s"/>
      <c r="F247" s="5" t="s"/>
      <c r="G247" s="5" t="s"/>
      <c r="H247" s="25" t="s"/>
      <c r="I247" s="25" t="s"/>
      <c r="J247" s="83">
        <v>0</v>
      </c>
      <c r="K247" s="84">
        <v>1</v>
      </c>
      <c r="L247" t="b">
        <f>=OR(AND(D247=1,J247=0,K247=0),AND(D247=0,OR(J247=1,K247=1)))</f>
        <v>1</v>
      </c>
    </row>
    <row r="248" spans="1:12">
      <c r="A248" s="76" t="s"/>
      <c r="B248" s="22" t="s">
        <v>20</v>
      </c>
      <c r="C248" s="9" t="s">
        <v>24</v>
      </c>
      <c r="D248" s="77">
        <v>0</v>
      </c>
      <c r="E248" s="5" t="s"/>
      <c r="F248" s="5" t="s"/>
      <c r="G248" s="5" t="s"/>
      <c r="H248" s="25" t="s"/>
      <c r="I248" s="25" t="s"/>
      <c r="J248" s="83">
        <v>0</v>
      </c>
      <c r="K248" s="84">
        <v>1</v>
      </c>
      <c r="L248" t="b">
        <f>=OR(AND(D248=1,J248=0,K248=0),AND(D248=0,OR(J248=1,K248=1)))</f>
        <v>1</v>
      </c>
    </row>
    <row r="249" spans="1:12">
      <c r="A249" s="76" t="s"/>
      <c r="B249" s="22" t="s">
        <v>22</v>
      </c>
      <c r="C249" s="9" t="s">
        <v>12</v>
      </c>
      <c r="D249" s="77">
        <v>0</v>
      </c>
      <c r="E249" s="5" t="s"/>
      <c r="F249" s="5" t="s"/>
      <c r="G249" s="5" t="s"/>
      <c r="H249" s="25" t="s"/>
      <c r="I249" s="25" t="s"/>
      <c r="J249" s="83">
        <v>1</v>
      </c>
      <c r="K249" s="84">
        <v>0</v>
      </c>
      <c r="L249" t="b">
        <f>=OR(AND(D249=1,J249=0,K249=0),AND(D249=0,OR(J249=1,K249=1)))</f>
        <v>1</v>
      </c>
    </row>
    <row r="250" spans="1:12">
      <c r="A250" s="76" t="s"/>
      <c r="B250" s="22" t="s">
        <v>22</v>
      </c>
      <c r="C250" s="9" t="s">
        <v>14</v>
      </c>
      <c r="D250" s="77">
        <v>0</v>
      </c>
      <c r="E250" s="5" t="s"/>
      <c r="F250" s="5" t="s"/>
      <c r="G250" s="5" t="s"/>
      <c r="H250" s="25" t="s"/>
      <c r="I250" s="25" t="s"/>
      <c r="J250" s="83">
        <v>1</v>
      </c>
      <c r="K250" s="84">
        <v>0</v>
      </c>
      <c r="L250" t="b">
        <f>=OR(AND(D250=1,J250=0,K250=0),AND(D250=0,OR(J250=1,K250=1)))</f>
        <v>1</v>
      </c>
    </row>
    <row r="251" spans="1:12">
      <c r="A251" s="76" t="s"/>
      <c r="B251" s="22" t="s">
        <v>22</v>
      </c>
      <c r="C251" s="9" t="s">
        <v>16</v>
      </c>
      <c r="D251" s="77">
        <v>0</v>
      </c>
      <c r="E251" s="5" t="s"/>
      <c r="F251" s="5" t="s"/>
      <c r="G251" s="5" t="s"/>
      <c r="H251" s="25" t="s"/>
      <c r="I251" s="25" t="s"/>
      <c r="J251" s="83">
        <v>0</v>
      </c>
      <c r="K251" s="84">
        <v>1</v>
      </c>
      <c r="L251" t="b">
        <f>=OR(AND(D251=1,J251=0,K251=0),AND(D251=0,OR(J251=1,K251=1)))</f>
        <v>1</v>
      </c>
    </row>
    <row r="252" spans="1:12">
      <c r="A252" s="76" t="s"/>
      <c r="B252" s="22" t="s">
        <v>22</v>
      </c>
      <c r="C252" s="9" t="s">
        <v>18</v>
      </c>
      <c r="D252" s="77">
        <v>1</v>
      </c>
      <c r="E252" s="5" t="s"/>
      <c r="F252" s="5" t="s"/>
      <c r="G252" s="5" t="s"/>
      <c r="H252" s="25" t="s"/>
      <c r="I252" s="25" t="s"/>
      <c r="J252" s="83">
        <v>0</v>
      </c>
      <c r="K252" s="84">
        <v>0</v>
      </c>
      <c r="L252" t="b">
        <f>=OR(AND(D252=1,J252=0,K252=0),AND(D252=0,OR(J252=1,K252=1)))</f>
        <v>1</v>
      </c>
    </row>
    <row r="253" spans="1:12">
      <c r="A253" s="76" t="s"/>
      <c r="B253" s="22" t="s">
        <v>22</v>
      </c>
      <c r="C253" s="9" t="s">
        <v>20</v>
      </c>
      <c r="D253" s="77">
        <v>1</v>
      </c>
      <c r="E253" s="5" t="s"/>
      <c r="F253" s="5" t="s"/>
      <c r="G253" s="5" t="s"/>
      <c r="H253" s="25" t="s"/>
      <c r="I253" s="25" t="s"/>
      <c r="J253" s="83">
        <v>0</v>
      </c>
      <c r="K253" s="84">
        <v>0</v>
      </c>
      <c r="L253" t="b">
        <f>=OR(AND(D253=1,J253=0,K253=0),AND(D253=0,OR(J253=1,K253=1)))</f>
        <v>1</v>
      </c>
    </row>
    <row r="254" spans="1:12">
      <c r="A254" s="76" t="s"/>
      <c r="B254" s="22" t="s">
        <v>22</v>
      </c>
      <c r="C254" s="9" t="s">
        <v>22</v>
      </c>
      <c r="D254" s="77">
        <v>0</v>
      </c>
      <c r="E254" s="5" t="s"/>
      <c r="F254" s="5" t="s"/>
      <c r="G254" s="5" t="s"/>
      <c r="H254" s="25" t="s"/>
      <c r="I254" s="25" t="s"/>
      <c r="J254" s="83">
        <v>1</v>
      </c>
      <c r="K254" s="84">
        <v>0</v>
      </c>
      <c r="L254" t="b">
        <f>=OR(AND(D254=1,J254=0,K254=0),AND(D254=0,OR(J254=1,K254=1)))</f>
        <v>1</v>
      </c>
    </row>
    <row r="255" spans="1:12">
      <c r="A255" s="76" t="s"/>
      <c r="B255" s="22" t="s">
        <v>22</v>
      </c>
      <c r="C255" s="9" t="s">
        <v>24</v>
      </c>
      <c r="D255" s="77">
        <v>0</v>
      </c>
      <c r="E255" s="5" t="s"/>
      <c r="F255" s="5" t="s"/>
      <c r="G255" s="5" t="s"/>
      <c r="H255" s="25" t="s"/>
      <c r="I255" s="25" t="s"/>
      <c r="J255" s="83">
        <v>0</v>
      </c>
      <c r="K255" s="84">
        <v>1</v>
      </c>
      <c r="L255" t="b">
        <f>=OR(AND(D255=1,J255=0,K255=0),AND(D255=0,OR(J255=1,K255=1)))</f>
        <v>1</v>
      </c>
    </row>
    <row r="256" spans="1:12">
      <c r="A256" s="76" t="s"/>
      <c r="B256" s="22" t="s">
        <v>24</v>
      </c>
      <c r="C256" s="9" t="s">
        <v>12</v>
      </c>
      <c r="D256" s="77">
        <v>1</v>
      </c>
      <c r="E256" s="5" t="s"/>
      <c r="F256" s="5" t="s"/>
      <c r="G256" s="5" t="s"/>
      <c r="H256" s="25" t="s"/>
      <c r="I256" s="25" t="s"/>
      <c r="J256" s="83">
        <v>0</v>
      </c>
      <c r="K256" s="84">
        <v>0</v>
      </c>
      <c r="L256" t="b">
        <f>=OR(AND(D256=1,J256=0,K256=0),AND(D256=0,OR(J256=1,K256=1)))</f>
        <v>1</v>
      </c>
    </row>
    <row r="257" spans="1:12">
      <c r="A257" s="76" t="s"/>
      <c r="B257" s="22" t="s">
        <v>24</v>
      </c>
      <c r="C257" s="9" t="s">
        <v>14</v>
      </c>
      <c r="D257" s="77">
        <v>1</v>
      </c>
      <c r="E257" s="5" t="s"/>
      <c r="F257" s="5" t="s"/>
      <c r="G257" s="5" t="s"/>
      <c r="H257" s="25" t="s"/>
      <c r="I257" s="25" t="s"/>
      <c r="J257" s="83">
        <v>0</v>
      </c>
      <c r="K257" s="84">
        <v>0</v>
      </c>
      <c r="L257" t="b">
        <f>=OR(AND(D257=1,J257=0,K257=0),AND(D257=0,OR(J257=1,K257=1)))</f>
        <v>1</v>
      </c>
    </row>
    <row r="258" spans="1:12">
      <c r="A258" s="76" t="s"/>
      <c r="B258" s="22" t="s">
        <v>24</v>
      </c>
      <c r="C258" s="9" t="s">
        <v>16</v>
      </c>
      <c r="D258" s="77">
        <v>0</v>
      </c>
      <c r="E258" s="5" t="s"/>
      <c r="F258" s="5" t="s"/>
      <c r="G258" s="5" t="s"/>
      <c r="H258" s="25" t="s"/>
      <c r="I258" s="25" t="s"/>
      <c r="J258" s="83">
        <v>1</v>
      </c>
      <c r="K258" s="84">
        <v>0</v>
      </c>
      <c r="L258" t="b">
        <f>=OR(AND(D258=1,J258=0,K258=0),AND(D258=0,OR(J258=1,K258=1)))</f>
        <v>1</v>
      </c>
    </row>
    <row r="259" spans="1:12">
      <c r="A259" s="76" t="s"/>
      <c r="B259" s="22" t="s">
        <v>24</v>
      </c>
      <c r="C259" s="9" t="s">
        <v>18</v>
      </c>
      <c r="D259" s="77">
        <v>1</v>
      </c>
      <c r="E259" s="5" t="s"/>
      <c r="F259" s="5" t="s"/>
      <c r="G259" s="5" t="s"/>
      <c r="H259" s="25" t="s"/>
      <c r="I259" s="25" t="s"/>
      <c r="J259" s="83">
        <v>0</v>
      </c>
      <c r="K259" s="84">
        <v>0</v>
      </c>
      <c r="L259" t="b">
        <f>=OR(AND(D259=1,J259=0,K259=0),AND(D259=0,OR(J259=1,K259=1)))</f>
        <v>1</v>
      </c>
    </row>
    <row r="260" spans="1:12">
      <c r="A260" s="80" t="s"/>
      <c r="B260" s="22" t="s">
        <v>24</v>
      </c>
      <c r="C260" s="9" t="s">
        <v>20</v>
      </c>
      <c r="D260" s="77">
        <v>1</v>
      </c>
      <c r="E260" s="5" t="s"/>
      <c r="F260" s="5" t="s"/>
      <c r="G260" s="5" t="s"/>
      <c r="H260" s="25" t="s"/>
      <c r="I260" s="25" t="s"/>
      <c r="J260" s="81">
        <v>0</v>
      </c>
      <c r="K260" s="82">
        <v>0</v>
      </c>
      <c r="L260" t="b">
        <f>=OR(AND(D260=1,J260=0,K260=0),AND(D260=0,OR(J260=1,K260=1)))</f>
        <v>1</v>
      </c>
    </row>
    <row r="261" spans="1:12">
      <c r="A261" s="80" t="s"/>
      <c r="B261" s="22" t="s">
        <v>24</v>
      </c>
      <c r="C261" s="9" t="s">
        <v>22</v>
      </c>
      <c r="D261" s="77">
        <v>1</v>
      </c>
      <c r="E261" s="5" t="s"/>
      <c r="F261" s="5" t="s"/>
      <c r="G261" s="5" t="s"/>
      <c r="H261" s="25" t="s"/>
      <c r="I261" s="25" t="s"/>
      <c r="J261" s="81">
        <v>0</v>
      </c>
      <c r="K261" s="82">
        <v>0</v>
      </c>
      <c r="L261" t="b">
        <f>=OR(AND(D261=1,J261=0,K261=0),AND(D261=0,OR(J261=1,K261=1)))</f>
        <v>1</v>
      </c>
    </row>
    <row r="262" spans="1:12">
      <c r="A262" s="80" t="s"/>
      <c r="B262" s="22" t="s">
        <v>24</v>
      </c>
      <c r="C262" s="9" t="s">
        <v>24</v>
      </c>
      <c r="D262" s="85">
        <v>0</v>
      </c>
      <c r="E262" s="6" t="s"/>
      <c r="F262" s="6" t="s"/>
      <c r="G262" s="6" t="s"/>
      <c r="H262" s="34" t="s"/>
      <c r="I262" s="34" t="s"/>
      <c r="J262" s="86">
        <v>1</v>
      </c>
      <c r="K262" s="87">
        <v>0</v>
      </c>
      <c r="L262" t="b">
        <f>=OR(AND(D262=1,J262=0,K262=0),AND(D262=0,OR(J262=1,K262=1)))</f>
        <v>1</v>
      </c>
    </row>
    <row r="263" spans="1:12">
      <c r="A263" s="76" t="s">
        <v>37</v>
      </c>
      <c r="B263" s="12" t="s">
        <v>12</v>
      </c>
      <c r="C263" s="13" t="s">
        <v>12</v>
      </c>
      <c r="D263" s="77">
        <v>0</v>
      </c>
      <c r="E263" s="5" t="s"/>
      <c r="F263" s="5" t="s"/>
      <c r="G263" s="5" t="s"/>
      <c r="H263" s="25" t="s"/>
      <c r="I263" s="25" t="s"/>
      <c r="J263" s="78">
        <v>1</v>
      </c>
      <c r="K263" s="79">
        <v>0</v>
      </c>
      <c r="L263" t="b">
        <f>=OR(AND(D263=1,J263=0,K263=1),AND(D263=0,K263=0))</f>
        <v>1</v>
      </c>
    </row>
    <row r="264" spans="1:12">
      <c r="A264" s="80" t="s"/>
      <c r="B264" s="22" t="s">
        <v>12</v>
      </c>
      <c r="C264" s="9" t="s">
        <v>14</v>
      </c>
      <c r="D264" s="77">
        <v>0</v>
      </c>
      <c r="E264" s="5" t="s"/>
      <c r="F264" s="5" t="s"/>
      <c r="G264" s="5" t="s"/>
      <c r="H264" s="25" t="s"/>
      <c r="I264" s="25" t="s"/>
      <c r="J264" s="81">
        <v>1</v>
      </c>
      <c r="K264" s="82">
        <v>0</v>
      </c>
      <c r="L264" t="b">
        <f>=OR(AND(D264=1,J264=0,K264=1),AND(D264=0,K264=0))</f>
        <v>1</v>
      </c>
    </row>
    <row r="265" spans="1:12">
      <c r="A265" s="80" t="s"/>
      <c r="B265" s="28" t="s">
        <v>12</v>
      </c>
      <c r="C265" s="9" t="s">
        <v>16</v>
      </c>
      <c r="D265" s="77">
        <v>1</v>
      </c>
      <c r="E265" s="5" t="s"/>
      <c r="F265" s="5" t="s"/>
      <c r="G265" s="5" t="s"/>
      <c r="H265" s="25" t="s"/>
      <c r="I265" s="25" t="s"/>
      <c r="J265" s="81">
        <v>0</v>
      </c>
      <c r="K265" s="82">
        <v>1</v>
      </c>
      <c r="L265" t="b">
        <f>=OR(AND(D265=1,J265=0,K265=1),AND(D265=0,K265=0))</f>
        <v>1</v>
      </c>
    </row>
    <row r="266" spans="1:12">
      <c r="A266" s="80" t="s"/>
      <c r="B266" s="28" t="s">
        <v>12</v>
      </c>
      <c r="C266" s="9" t="s">
        <v>18</v>
      </c>
      <c r="D266" s="77">
        <v>0</v>
      </c>
      <c r="E266" s="5" t="s"/>
      <c r="F266" s="5" t="s"/>
      <c r="G266" s="5" t="s"/>
      <c r="H266" s="25" t="s"/>
      <c r="I266" s="25" t="s"/>
      <c r="J266" s="81">
        <v>0</v>
      </c>
      <c r="K266" s="82">
        <v>0</v>
      </c>
      <c r="L266" t="b">
        <f>=OR(AND(D266=1,J266=0,K266=1),AND(D266=0,K266=0))</f>
        <v>1</v>
      </c>
    </row>
    <row r="267" spans="1:12">
      <c r="A267" s="76" t="s"/>
      <c r="B267" s="28" t="s">
        <v>12</v>
      </c>
      <c r="C267" s="9" t="s">
        <v>20</v>
      </c>
      <c r="D267" s="77">
        <v>0</v>
      </c>
      <c r="E267" s="5" t="s"/>
      <c r="F267" s="5" t="s"/>
      <c r="G267" s="5" t="s"/>
      <c r="H267" s="25" t="s"/>
      <c r="I267" s="25" t="s"/>
      <c r="J267" s="83">
        <v>0</v>
      </c>
      <c r="K267" s="84">
        <v>0</v>
      </c>
      <c r="L267" t="b">
        <f>=OR(AND(D267=1,J267=0,K267=1),AND(D267=0,K267=0))</f>
        <v>1</v>
      </c>
    </row>
    <row r="268" spans="1:12">
      <c r="A268" s="76" t="s"/>
      <c r="B268" s="22" t="s">
        <v>12</v>
      </c>
      <c r="C268" s="9" t="s">
        <v>22</v>
      </c>
      <c r="D268" s="77">
        <v>0</v>
      </c>
      <c r="E268" s="5" t="s"/>
      <c r="F268" s="5" t="s"/>
      <c r="G268" s="5" t="s"/>
      <c r="H268" s="25" t="s"/>
      <c r="I268" s="25" t="s"/>
      <c r="J268" s="83">
        <v>1</v>
      </c>
      <c r="K268" s="84">
        <v>0</v>
      </c>
      <c r="L268" t="b">
        <f>=OR(AND(D268=1,J268=0,K268=1),AND(D268=0,K268=0))</f>
        <v>1</v>
      </c>
    </row>
    <row r="269" spans="1:12">
      <c r="A269" s="76" t="s"/>
      <c r="B269" s="22" t="s">
        <v>12</v>
      </c>
      <c r="C269" s="9" t="s">
        <v>24</v>
      </c>
      <c r="D269" s="77">
        <v>1</v>
      </c>
      <c r="E269" s="5" t="s"/>
      <c r="F269" s="5" t="s"/>
      <c r="G269" s="5" t="s"/>
      <c r="H269" s="25" t="s"/>
      <c r="I269" s="25" t="s"/>
      <c r="J269" s="83">
        <v>0</v>
      </c>
      <c r="K269" s="84">
        <v>1</v>
      </c>
      <c r="L269" t="b">
        <f>=OR(AND(D269=1,J269=0,K269=1),AND(D269=0,K269=0))</f>
        <v>1</v>
      </c>
    </row>
    <row r="270" spans="1:12">
      <c r="A270" s="76" t="s"/>
      <c r="B270" s="22" t="s">
        <v>14</v>
      </c>
      <c r="C270" s="9" t="s">
        <v>12</v>
      </c>
      <c r="D270" s="77">
        <v>0</v>
      </c>
      <c r="E270" s="5" t="s"/>
      <c r="F270" s="5" t="s"/>
      <c r="G270" s="5" t="s"/>
      <c r="H270" s="25" t="s"/>
      <c r="I270" s="25" t="s"/>
      <c r="J270" s="83">
        <v>1</v>
      </c>
      <c r="K270" s="84">
        <v>0</v>
      </c>
      <c r="L270" t="b">
        <f>=OR(AND(D270=1,J270=0,K270=1),AND(D270=0,K270=0))</f>
        <v>1</v>
      </c>
    </row>
    <row r="271" spans="1:12">
      <c r="A271" s="76" t="s"/>
      <c r="B271" s="7" t="s">
        <v>14</v>
      </c>
      <c r="C271" s="9" t="s">
        <v>14</v>
      </c>
      <c r="D271" s="77">
        <v>0</v>
      </c>
      <c r="E271" s="5" t="s"/>
      <c r="F271" s="5" t="s"/>
      <c r="G271" s="5" t="s"/>
      <c r="H271" s="25" t="s"/>
      <c r="I271" s="25" t="s"/>
      <c r="J271" s="83">
        <v>1</v>
      </c>
      <c r="K271" s="84">
        <v>0</v>
      </c>
      <c r="L271" t="b">
        <f>=OR(AND(D271=1,J271=0,K271=1),AND(D271=0,K271=0))</f>
        <v>1</v>
      </c>
    </row>
    <row r="272" spans="1:12">
      <c r="A272" s="76" t="s"/>
      <c r="B272" s="22" t="s">
        <v>14</v>
      </c>
      <c r="C272" s="9" t="s">
        <v>16</v>
      </c>
      <c r="D272" s="77">
        <v>1</v>
      </c>
      <c r="E272" s="5" t="s"/>
      <c r="F272" s="5" t="s"/>
      <c r="G272" s="5" t="s"/>
      <c r="H272" s="25" t="s"/>
      <c r="I272" s="25" t="s"/>
      <c r="J272" s="83">
        <v>0</v>
      </c>
      <c r="K272" s="84">
        <v>1</v>
      </c>
      <c r="L272" t="b">
        <f>=OR(AND(D272=1,J272=0,K272=1),AND(D272=0,K272=0))</f>
        <v>1</v>
      </c>
    </row>
    <row r="273" spans="1:12">
      <c r="A273" s="76" t="s"/>
      <c r="B273" s="22" t="s">
        <v>14</v>
      </c>
      <c r="C273" s="9" t="s">
        <v>18</v>
      </c>
      <c r="D273" s="77">
        <v>0</v>
      </c>
      <c r="E273" s="5" t="s"/>
      <c r="F273" s="5" t="s"/>
      <c r="G273" s="5" t="s"/>
      <c r="H273" s="25" t="s"/>
      <c r="I273" s="25" t="s"/>
      <c r="J273" s="83">
        <v>0</v>
      </c>
      <c r="K273" s="84">
        <v>0</v>
      </c>
      <c r="L273" t="b">
        <f>=OR(AND(D273=1,J273=0,K273=1),AND(D273=0,K273=0))</f>
        <v>1</v>
      </c>
    </row>
    <row r="274" spans="1:12">
      <c r="A274" s="76" t="s"/>
      <c r="B274" s="22" t="s">
        <v>14</v>
      </c>
      <c r="C274" s="9" t="s">
        <v>20</v>
      </c>
      <c r="D274" s="77">
        <v>0</v>
      </c>
      <c r="E274" s="5" t="s"/>
      <c r="F274" s="5" t="s"/>
      <c r="G274" s="5" t="s"/>
      <c r="H274" s="25" t="s"/>
      <c r="I274" s="25" t="s"/>
      <c r="J274" s="83">
        <v>0</v>
      </c>
      <c r="K274" s="84">
        <v>0</v>
      </c>
      <c r="L274" t="b">
        <f>=OR(AND(D274=1,J274=0,K274=1),AND(D274=0,K274=0))</f>
        <v>1</v>
      </c>
    </row>
    <row r="275" spans="1:12">
      <c r="A275" s="76" t="s"/>
      <c r="B275" s="22" t="s">
        <v>14</v>
      </c>
      <c r="C275" s="9" t="s">
        <v>22</v>
      </c>
      <c r="D275" s="77">
        <v>0</v>
      </c>
      <c r="E275" s="5" t="s"/>
      <c r="F275" s="5" t="s"/>
      <c r="G275" s="5" t="s"/>
      <c r="H275" s="25" t="s"/>
      <c r="I275" s="25" t="s"/>
      <c r="J275" s="83">
        <v>1</v>
      </c>
      <c r="K275" s="84">
        <v>0</v>
      </c>
      <c r="L275" t="b">
        <f>=OR(AND(D275=1,J275=0,K275=1),AND(D275=0,K275=0))</f>
        <v>1</v>
      </c>
    </row>
    <row r="276" spans="1:12">
      <c r="A276" s="76" t="s"/>
      <c r="B276" s="22" t="s">
        <v>14</v>
      </c>
      <c r="C276" s="9" t="s">
        <v>24</v>
      </c>
      <c r="D276" s="77">
        <v>1</v>
      </c>
      <c r="E276" s="5" t="s"/>
      <c r="F276" s="5" t="s"/>
      <c r="G276" s="5" t="s"/>
      <c r="H276" s="25" t="s"/>
      <c r="I276" s="25" t="s"/>
      <c r="J276" s="83">
        <v>0</v>
      </c>
      <c r="K276" s="84">
        <v>1</v>
      </c>
      <c r="L276" t="b">
        <f>=OR(AND(D276=1,J276=0,K276=1),AND(D276=0,K276=0))</f>
        <v>1</v>
      </c>
    </row>
    <row r="277" spans="1:12">
      <c r="A277" s="76" t="s"/>
      <c r="B277" s="22" t="s">
        <v>16</v>
      </c>
      <c r="C277" s="9" t="s">
        <v>12</v>
      </c>
      <c r="D277" s="77">
        <v>0</v>
      </c>
      <c r="E277" s="5" t="s"/>
      <c r="F277" s="5" t="s"/>
      <c r="G277" s="5" t="s"/>
      <c r="H277" s="25" t="s"/>
      <c r="I277" s="25" t="s"/>
      <c r="J277" s="83">
        <v>0</v>
      </c>
      <c r="K277" s="84">
        <v>0</v>
      </c>
      <c r="L277" t="b">
        <f>=OR(AND(D277=1,J277=0,K277=1),AND(D277=0,K277=0))</f>
        <v>1</v>
      </c>
    </row>
    <row r="278" spans="1:12">
      <c r="A278" s="76" t="s"/>
      <c r="B278" s="22" t="s">
        <v>16</v>
      </c>
      <c r="C278" s="9" t="s">
        <v>14</v>
      </c>
      <c r="D278" s="77">
        <v>0</v>
      </c>
      <c r="E278" s="5" t="s"/>
      <c r="F278" s="5" t="s"/>
      <c r="G278" s="5" t="s"/>
      <c r="H278" s="25" t="s"/>
      <c r="I278" s="25" t="s"/>
      <c r="J278" s="83">
        <v>0</v>
      </c>
      <c r="K278" s="84">
        <v>0</v>
      </c>
      <c r="L278" t="b">
        <f>=OR(AND(D278=1,J278=0,K278=1),AND(D278=0,K278=0))</f>
        <v>1</v>
      </c>
    </row>
    <row r="279" spans="1:12">
      <c r="A279" s="76" t="s"/>
      <c r="B279" s="22" t="s">
        <v>16</v>
      </c>
      <c r="C279" s="9" t="s">
        <v>16</v>
      </c>
      <c r="D279" s="77">
        <v>0</v>
      </c>
      <c r="E279" s="5" t="s"/>
      <c r="F279" s="5" t="s"/>
      <c r="G279" s="5" t="s"/>
      <c r="H279" s="25" t="s"/>
      <c r="I279" s="25" t="s"/>
      <c r="J279" s="83">
        <v>1</v>
      </c>
      <c r="K279" s="84">
        <v>0</v>
      </c>
      <c r="L279" t="b">
        <f>=OR(AND(D279=1,J279=0,K279=1),AND(D279=0,K279=0))</f>
        <v>1</v>
      </c>
    </row>
    <row r="280" spans="1:12">
      <c r="A280" s="76" t="s"/>
      <c r="B280" s="22" t="s">
        <v>16</v>
      </c>
      <c r="C280" s="9" t="s">
        <v>18</v>
      </c>
      <c r="D280" s="77">
        <v>0</v>
      </c>
      <c r="E280" s="5" t="s"/>
      <c r="F280" s="5" t="s"/>
      <c r="G280" s="5" t="s"/>
      <c r="H280" s="25" t="s"/>
      <c r="I280" s="25" t="s"/>
      <c r="J280" s="83">
        <v>0</v>
      </c>
      <c r="K280" s="84">
        <v>0</v>
      </c>
      <c r="L280" t="b">
        <f>=OR(AND(D280=1,J280=0,K280=1),AND(D280=0,K280=0))</f>
        <v>1</v>
      </c>
    </row>
    <row r="281" spans="1:12">
      <c r="A281" s="76" t="s"/>
      <c r="B281" s="22" t="s">
        <v>16</v>
      </c>
      <c r="C281" s="9" t="s">
        <v>20</v>
      </c>
      <c r="D281" s="77">
        <v>0</v>
      </c>
      <c r="E281" s="5" t="s"/>
      <c r="F281" s="5" t="s"/>
      <c r="G281" s="5" t="s"/>
      <c r="H281" s="25" t="s"/>
      <c r="I281" s="25" t="s"/>
      <c r="J281" s="83">
        <v>0</v>
      </c>
      <c r="K281" s="84">
        <v>0</v>
      </c>
      <c r="L281" t="b">
        <f>=OR(AND(D281=1,J281=0,K281=1),AND(D281=0,K281=0))</f>
        <v>1</v>
      </c>
    </row>
    <row r="282" spans="1:12">
      <c r="A282" s="76" t="s"/>
      <c r="B282" s="22" t="s">
        <v>16</v>
      </c>
      <c r="C282" s="9" t="s">
        <v>22</v>
      </c>
      <c r="D282" s="77">
        <v>0</v>
      </c>
      <c r="E282" s="5" t="s"/>
      <c r="F282" s="5" t="s"/>
      <c r="G282" s="5" t="s"/>
      <c r="H282" s="25" t="s"/>
      <c r="I282" s="25" t="s"/>
      <c r="J282" s="83">
        <v>0</v>
      </c>
      <c r="K282" s="84">
        <v>0</v>
      </c>
      <c r="L282" t="b">
        <f>=OR(AND(D282=1,J282=0,K282=1),AND(D282=0,K282=0))</f>
        <v>1</v>
      </c>
    </row>
    <row r="283" spans="1:12">
      <c r="A283" s="76" t="s"/>
      <c r="B283" s="22" t="s">
        <v>16</v>
      </c>
      <c r="C283" s="9" t="s">
        <v>24</v>
      </c>
      <c r="D283" s="77">
        <v>0</v>
      </c>
      <c r="E283" s="5" t="s"/>
      <c r="F283" s="5" t="s"/>
      <c r="G283" s="5" t="s"/>
      <c r="H283" s="25" t="s"/>
      <c r="I283" s="25" t="s"/>
      <c r="J283" s="83">
        <v>1</v>
      </c>
      <c r="K283" s="84">
        <v>0</v>
      </c>
      <c r="L283" t="b">
        <f>=OR(AND(D283=1,J283=0,K283=1),AND(D283=0,K283=0))</f>
        <v>1</v>
      </c>
    </row>
    <row r="284" spans="1:12">
      <c r="A284" s="76" t="s"/>
      <c r="B284" s="22" t="s">
        <v>18</v>
      </c>
      <c r="C284" s="9" t="s">
        <v>12</v>
      </c>
      <c r="D284" s="77">
        <v>1</v>
      </c>
      <c r="E284" s="5" t="s"/>
      <c r="F284" s="5" t="s"/>
      <c r="G284" s="5" t="s"/>
      <c r="H284" s="25" t="s"/>
      <c r="I284" s="25" t="s"/>
      <c r="J284" s="83">
        <v>0</v>
      </c>
      <c r="K284" s="84">
        <v>1</v>
      </c>
      <c r="L284" t="b">
        <f>=OR(AND(D284=1,J284=0,K284=1),AND(D284=0,K284=0))</f>
        <v>1</v>
      </c>
    </row>
    <row r="285" spans="1:12">
      <c r="A285" s="76" t="s"/>
      <c r="B285" s="22" t="s">
        <v>18</v>
      </c>
      <c r="C285" s="9" t="s">
        <v>14</v>
      </c>
      <c r="D285" s="77">
        <v>1</v>
      </c>
      <c r="E285" s="5" t="s"/>
      <c r="F285" s="5" t="s"/>
      <c r="G285" s="5" t="s"/>
      <c r="H285" s="25" t="s"/>
      <c r="I285" s="25" t="s"/>
      <c r="J285" s="83">
        <v>0</v>
      </c>
      <c r="K285" s="84">
        <v>1</v>
      </c>
      <c r="L285" t="b">
        <f>=OR(AND(D285=1,J285=0,K285=1),AND(D285=0,K285=0))</f>
        <v>1</v>
      </c>
    </row>
    <row r="286" spans="1:12">
      <c r="A286" s="76" t="s"/>
      <c r="B286" s="22" t="s">
        <v>18</v>
      </c>
      <c r="C286" s="9" t="s">
        <v>16</v>
      </c>
      <c r="D286" s="77">
        <v>1</v>
      </c>
      <c r="E286" s="5" t="s"/>
      <c r="F286" s="5" t="s"/>
      <c r="G286" s="5" t="s"/>
      <c r="H286" s="25" t="s"/>
      <c r="I286" s="25" t="s"/>
      <c r="J286" s="83">
        <v>0</v>
      </c>
      <c r="K286" s="84">
        <v>1</v>
      </c>
      <c r="L286" t="b">
        <f>=OR(AND(D286=1,J286=0,K286=1),AND(D286=0,K286=0))</f>
        <v>1</v>
      </c>
    </row>
    <row r="287" spans="1:12">
      <c r="A287" s="76" t="s"/>
      <c r="B287" s="22" t="s">
        <v>18</v>
      </c>
      <c r="C287" s="9" t="s">
        <v>18</v>
      </c>
      <c r="D287" s="77">
        <v>0</v>
      </c>
      <c r="E287" s="5" t="s"/>
      <c r="F287" s="5" t="s"/>
      <c r="G287" s="5" t="s"/>
      <c r="H287" s="25" t="s"/>
      <c r="I287" s="25" t="s"/>
      <c r="J287" s="83">
        <v>1</v>
      </c>
      <c r="K287" s="84">
        <v>0</v>
      </c>
      <c r="L287" t="b">
        <f>=OR(AND(D287=1,J287=0,K287=1),AND(D287=0,K287=0))</f>
        <v>1</v>
      </c>
    </row>
    <row r="288" spans="1:12">
      <c r="A288" s="76" t="s"/>
      <c r="B288" s="22" t="s">
        <v>18</v>
      </c>
      <c r="C288" s="9" t="s">
        <v>20</v>
      </c>
      <c r="D288" s="77">
        <v>0</v>
      </c>
      <c r="E288" s="5" t="s"/>
      <c r="F288" s="5" t="s"/>
      <c r="G288" s="5" t="s"/>
      <c r="H288" s="25" t="s"/>
      <c r="I288" s="25" t="s"/>
      <c r="J288" s="83">
        <v>1</v>
      </c>
      <c r="K288" s="84">
        <v>0</v>
      </c>
      <c r="L288" t="b">
        <f>=OR(AND(D288=1,J288=0,K288=1),AND(D288=0,K288=0))</f>
        <v>1</v>
      </c>
    </row>
    <row r="289" spans="1:12">
      <c r="A289" s="76" t="s"/>
      <c r="B289" s="22" t="s">
        <v>18</v>
      </c>
      <c r="C289" s="9" t="s">
        <v>22</v>
      </c>
      <c r="D289" s="77">
        <v>1</v>
      </c>
      <c r="E289" s="5" t="s"/>
      <c r="F289" s="5" t="s"/>
      <c r="G289" s="5" t="s"/>
      <c r="H289" s="25" t="s"/>
      <c r="I289" s="25" t="s"/>
      <c r="J289" s="83">
        <v>0</v>
      </c>
      <c r="K289" s="84">
        <v>1</v>
      </c>
      <c r="L289" t="b">
        <f>=OR(AND(D289=1,J289=0,K289=1),AND(D289=0,K289=0))</f>
        <v>1</v>
      </c>
    </row>
    <row r="290" spans="1:12">
      <c r="A290" s="76" t="s"/>
      <c r="B290" s="22" t="s">
        <v>18</v>
      </c>
      <c r="C290" s="9" t="s">
        <v>24</v>
      </c>
      <c r="D290" s="77">
        <v>1</v>
      </c>
      <c r="E290" s="5" t="s"/>
      <c r="F290" s="5" t="s"/>
      <c r="G290" s="5" t="s"/>
      <c r="H290" s="25" t="s"/>
      <c r="I290" s="25" t="s"/>
      <c r="J290" s="83">
        <v>0</v>
      </c>
      <c r="K290" s="84">
        <v>1</v>
      </c>
      <c r="L290" t="b">
        <f>=OR(AND(D290=1,J290=0,K290=1),AND(D290=0,K290=0))</f>
        <v>1</v>
      </c>
    </row>
    <row r="291" spans="1:12">
      <c r="A291" s="76" t="s"/>
      <c r="B291" s="22" t="s">
        <v>20</v>
      </c>
      <c r="C291" s="9" t="s">
        <v>12</v>
      </c>
      <c r="D291" s="77">
        <v>1</v>
      </c>
      <c r="E291" s="5" t="s"/>
      <c r="F291" s="5" t="s"/>
      <c r="G291" s="5" t="s"/>
      <c r="H291" s="25" t="s"/>
      <c r="I291" s="25" t="s"/>
      <c r="J291" s="83">
        <v>0</v>
      </c>
      <c r="K291" s="84">
        <v>1</v>
      </c>
      <c r="L291" t="b">
        <f>=OR(AND(D291=1,J291=0,K291=1),AND(D291=0,K291=0))</f>
        <v>1</v>
      </c>
    </row>
    <row r="292" spans="1:12">
      <c r="A292" s="76" t="s"/>
      <c r="B292" s="22" t="s">
        <v>20</v>
      </c>
      <c r="C292" s="9" t="s">
        <v>14</v>
      </c>
      <c r="D292" s="77">
        <v>1</v>
      </c>
      <c r="E292" s="5" t="s"/>
      <c r="F292" s="5" t="s"/>
      <c r="G292" s="5" t="s"/>
      <c r="H292" s="25" t="s"/>
      <c r="I292" s="25" t="s"/>
      <c r="J292" s="83">
        <v>0</v>
      </c>
      <c r="K292" s="84">
        <v>1</v>
      </c>
      <c r="L292" t="b">
        <f>=OR(AND(D292=1,J292=0,K292=1),AND(D292=0,K292=0))</f>
        <v>1</v>
      </c>
    </row>
    <row r="293" spans="1:12">
      <c r="A293" s="76" t="s"/>
      <c r="B293" s="22" t="s">
        <v>20</v>
      </c>
      <c r="C293" s="9" t="s">
        <v>16</v>
      </c>
      <c r="D293" s="77">
        <v>1</v>
      </c>
      <c r="E293" s="5" t="s"/>
      <c r="F293" s="5" t="s"/>
      <c r="G293" s="5" t="s"/>
      <c r="H293" s="25" t="s"/>
      <c r="I293" s="25" t="s"/>
      <c r="J293" s="83">
        <v>0</v>
      </c>
      <c r="K293" s="84">
        <v>1</v>
      </c>
      <c r="L293" t="b">
        <f>=OR(AND(D293=1,J293=0,K293=1),AND(D293=0,K293=0))</f>
        <v>1</v>
      </c>
    </row>
    <row r="294" spans="1:12">
      <c r="A294" s="76" t="s"/>
      <c r="B294" s="22" t="s">
        <v>20</v>
      </c>
      <c r="C294" s="9" t="s">
        <v>18</v>
      </c>
      <c r="D294" s="77">
        <v>0</v>
      </c>
      <c r="E294" s="5" t="s"/>
      <c r="F294" s="5" t="s"/>
      <c r="G294" s="5" t="s"/>
      <c r="H294" s="25" t="s"/>
      <c r="I294" s="25" t="s"/>
      <c r="J294" s="83">
        <v>1</v>
      </c>
      <c r="K294" s="84">
        <v>0</v>
      </c>
      <c r="L294" t="b">
        <f>=OR(AND(D294=1,J294=0,K294=1),AND(D294=0,K294=0))</f>
        <v>1</v>
      </c>
    </row>
    <row r="295" spans="1:12">
      <c r="A295" s="76" t="s"/>
      <c r="B295" s="22" t="s">
        <v>20</v>
      </c>
      <c r="C295" s="9" t="s">
        <v>20</v>
      </c>
      <c r="D295" s="77">
        <v>0</v>
      </c>
      <c r="E295" s="5" t="s"/>
      <c r="F295" s="5" t="s"/>
      <c r="G295" s="5" t="s"/>
      <c r="H295" s="25" t="s"/>
      <c r="I295" s="25" t="s"/>
      <c r="J295" s="83">
        <v>1</v>
      </c>
      <c r="K295" s="84">
        <v>0</v>
      </c>
      <c r="L295" t="b">
        <f>=OR(AND(D295=1,J295=0,K295=1),AND(D295=0,K295=0))</f>
        <v>1</v>
      </c>
    </row>
    <row r="296" spans="1:12">
      <c r="A296" s="76" t="s"/>
      <c r="B296" s="22" t="s">
        <v>20</v>
      </c>
      <c r="C296" s="9" t="s">
        <v>22</v>
      </c>
      <c r="D296" s="77">
        <v>1</v>
      </c>
      <c r="E296" s="5" t="s"/>
      <c r="F296" s="5" t="s"/>
      <c r="G296" s="5" t="s"/>
      <c r="H296" s="25" t="s"/>
      <c r="I296" s="25" t="s"/>
      <c r="J296" s="83">
        <v>0</v>
      </c>
      <c r="K296" s="84">
        <v>1</v>
      </c>
      <c r="L296" t="b">
        <f>=OR(AND(D296=1,J296=0,K296=1),AND(D296=0,K296=0))</f>
        <v>1</v>
      </c>
    </row>
    <row r="297" spans="1:12">
      <c r="A297" s="76" t="s"/>
      <c r="B297" s="22" t="s">
        <v>20</v>
      </c>
      <c r="C297" s="9" t="s">
        <v>24</v>
      </c>
      <c r="D297" s="77">
        <v>1</v>
      </c>
      <c r="E297" s="5" t="s"/>
      <c r="F297" s="5" t="s"/>
      <c r="G297" s="5" t="s"/>
      <c r="H297" s="25" t="s"/>
      <c r="I297" s="25" t="s"/>
      <c r="J297" s="83">
        <v>0</v>
      </c>
      <c r="K297" s="84">
        <v>1</v>
      </c>
      <c r="L297" t="b">
        <f>=OR(AND(D297=1,J297=0,K297=1),AND(D297=0,K297=0))</f>
        <v>1</v>
      </c>
    </row>
    <row r="298" spans="1:12">
      <c r="A298" s="76" t="s"/>
      <c r="B298" s="22" t="s">
        <v>22</v>
      </c>
      <c r="C298" s="9" t="s">
        <v>12</v>
      </c>
      <c r="D298" s="77">
        <v>0</v>
      </c>
      <c r="E298" s="5" t="s"/>
      <c r="F298" s="5" t="s"/>
      <c r="G298" s="5" t="s"/>
      <c r="H298" s="25" t="s"/>
      <c r="I298" s="25" t="s"/>
      <c r="J298" s="83">
        <v>1</v>
      </c>
      <c r="K298" s="84">
        <v>0</v>
      </c>
      <c r="L298" t="b">
        <f>=OR(AND(D298=1,J298=0,K298=1),AND(D298=0,K298=0))</f>
        <v>1</v>
      </c>
    </row>
    <row r="299" spans="1:12">
      <c r="A299" s="76" t="s"/>
      <c r="B299" s="22" t="s">
        <v>22</v>
      </c>
      <c r="C299" s="9" t="s">
        <v>14</v>
      </c>
      <c r="D299" s="77">
        <v>0</v>
      </c>
      <c r="E299" s="5" t="s"/>
      <c r="F299" s="5" t="s"/>
      <c r="G299" s="5" t="s"/>
      <c r="H299" s="25" t="s"/>
      <c r="I299" s="25" t="s"/>
      <c r="J299" s="83">
        <v>1</v>
      </c>
      <c r="K299" s="84">
        <v>0</v>
      </c>
      <c r="L299" t="b">
        <f>=OR(AND(D299=1,J299=0,K299=1),AND(D299=0,K299=0))</f>
        <v>1</v>
      </c>
    </row>
    <row r="300" spans="1:12">
      <c r="A300" s="76" t="s"/>
      <c r="B300" s="22" t="s">
        <v>22</v>
      </c>
      <c r="C300" s="9" t="s">
        <v>16</v>
      </c>
      <c r="D300" s="77">
        <v>1</v>
      </c>
      <c r="E300" s="5" t="s"/>
      <c r="F300" s="5" t="s"/>
      <c r="G300" s="5" t="s"/>
      <c r="H300" s="25" t="s"/>
      <c r="I300" s="25" t="s"/>
      <c r="J300" s="83">
        <v>0</v>
      </c>
      <c r="K300" s="84">
        <v>1</v>
      </c>
      <c r="L300" t="b">
        <f>=OR(AND(D300=1,J300=0,K300=1),AND(D300=0,K300=0))</f>
        <v>1</v>
      </c>
    </row>
    <row r="301" spans="1:12">
      <c r="A301" s="76" t="s"/>
      <c r="B301" s="22" t="s">
        <v>22</v>
      </c>
      <c r="C301" s="9" t="s">
        <v>18</v>
      </c>
      <c r="D301" s="77">
        <v>0</v>
      </c>
      <c r="E301" s="5" t="s"/>
      <c r="F301" s="5" t="s"/>
      <c r="G301" s="5" t="s"/>
      <c r="H301" s="25" t="s"/>
      <c r="I301" s="25" t="s"/>
      <c r="J301" s="83">
        <v>0</v>
      </c>
      <c r="K301" s="84">
        <v>0</v>
      </c>
      <c r="L301" t="b">
        <f>=OR(AND(D301=1,J301=0,K301=1),AND(D301=0,K301=0))</f>
        <v>1</v>
      </c>
    </row>
    <row r="302" spans="1:12">
      <c r="A302" s="76" t="s"/>
      <c r="B302" s="22" t="s">
        <v>22</v>
      </c>
      <c r="C302" s="9" t="s">
        <v>20</v>
      </c>
      <c r="D302" s="77">
        <v>0</v>
      </c>
      <c r="E302" s="5" t="s"/>
      <c r="F302" s="5" t="s"/>
      <c r="G302" s="5" t="s"/>
      <c r="H302" s="25" t="s"/>
      <c r="I302" s="25" t="s"/>
      <c r="J302" s="83">
        <v>0</v>
      </c>
      <c r="K302" s="84">
        <v>0</v>
      </c>
      <c r="L302" t="b">
        <f>=OR(AND(D302=1,J302=0,K302=1),AND(D302=0,K302=0))</f>
        <v>1</v>
      </c>
    </row>
    <row r="303" spans="1:12">
      <c r="A303" s="76" t="s"/>
      <c r="B303" s="22" t="s">
        <v>22</v>
      </c>
      <c r="C303" s="9" t="s">
        <v>22</v>
      </c>
      <c r="D303" s="77">
        <v>0</v>
      </c>
      <c r="E303" s="5" t="s"/>
      <c r="F303" s="5" t="s"/>
      <c r="G303" s="5" t="s"/>
      <c r="H303" s="25" t="s"/>
      <c r="I303" s="25" t="s"/>
      <c r="J303" s="83">
        <v>1</v>
      </c>
      <c r="K303" s="84">
        <v>0</v>
      </c>
      <c r="L303" t="b">
        <f>=OR(AND(D303=1,J303=0,K303=1),AND(D303=0,K303=0))</f>
        <v>1</v>
      </c>
    </row>
    <row r="304" spans="1:12">
      <c r="A304" s="76" t="s"/>
      <c r="B304" s="22" t="s">
        <v>22</v>
      </c>
      <c r="C304" s="9" t="s">
        <v>24</v>
      </c>
      <c r="D304" s="77">
        <v>1</v>
      </c>
      <c r="E304" s="5" t="s"/>
      <c r="F304" s="5" t="s"/>
      <c r="G304" s="5" t="s"/>
      <c r="H304" s="25" t="s"/>
      <c r="I304" s="25" t="s"/>
      <c r="J304" s="83">
        <v>0</v>
      </c>
      <c r="K304" s="84">
        <v>1</v>
      </c>
      <c r="L304" t="b">
        <f>=OR(AND(D304=1,J304=0,K304=1),AND(D304=0,K304=0))</f>
        <v>1</v>
      </c>
    </row>
    <row r="305" spans="1:12">
      <c r="A305" s="76" t="s"/>
      <c r="B305" s="22" t="s">
        <v>24</v>
      </c>
      <c r="C305" s="9" t="s">
        <v>12</v>
      </c>
      <c r="D305" s="77">
        <v>0</v>
      </c>
      <c r="E305" s="5" t="s"/>
      <c r="F305" s="5" t="s"/>
      <c r="G305" s="5" t="s"/>
      <c r="H305" s="25" t="s"/>
      <c r="I305" s="25" t="s"/>
      <c r="J305" s="83">
        <v>0</v>
      </c>
      <c r="K305" s="84">
        <v>0</v>
      </c>
      <c r="L305" t="b">
        <f>=OR(AND(D305=1,J305=0,K305=1),AND(D305=0,K305=0))</f>
        <v>1</v>
      </c>
    </row>
    <row r="306" spans="1:12">
      <c r="A306" s="76" t="s"/>
      <c r="B306" s="22" t="s">
        <v>24</v>
      </c>
      <c r="C306" s="9" t="s">
        <v>14</v>
      </c>
      <c r="D306" s="77">
        <v>0</v>
      </c>
      <c r="E306" s="5" t="s"/>
      <c r="F306" s="5" t="s"/>
      <c r="G306" s="5" t="s"/>
      <c r="H306" s="25" t="s"/>
      <c r="I306" s="25" t="s"/>
      <c r="J306" s="83">
        <v>0</v>
      </c>
      <c r="K306" s="84">
        <v>0</v>
      </c>
      <c r="L306" t="b">
        <f>=OR(AND(D306=1,J306=0,K306=1),AND(D306=0,K306=0))</f>
        <v>1</v>
      </c>
    </row>
    <row r="307" spans="1:12">
      <c r="A307" s="76" t="s"/>
      <c r="B307" s="22" t="s">
        <v>24</v>
      </c>
      <c r="C307" s="9" t="s">
        <v>16</v>
      </c>
      <c r="D307" s="77">
        <v>0</v>
      </c>
      <c r="E307" s="5" t="s"/>
      <c r="F307" s="5" t="s"/>
      <c r="G307" s="5" t="s"/>
      <c r="H307" s="25" t="s"/>
      <c r="I307" s="25" t="s"/>
      <c r="J307" s="83">
        <v>1</v>
      </c>
      <c r="K307" s="84">
        <v>0</v>
      </c>
      <c r="L307" t="b">
        <f>=OR(AND(D307=1,J307=0,K307=1),AND(D307=0,K307=0))</f>
        <v>1</v>
      </c>
    </row>
    <row r="308" spans="1:12">
      <c r="A308" s="76" t="s"/>
      <c r="B308" s="22" t="s">
        <v>24</v>
      </c>
      <c r="C308" s="9" t="s">
        <v>18</v>
      </c>
      <c r="D308" s="77">
        <v>0</v>
      </c>
      <c r="E308" s="5" t="s"/>
      <c r="F308" s="5" t="s"/>
      <c r="G308" s="5" t="s"/>
      <c r="H308" s="25" t="s"/>
      <c r="I308" s="25" t="s"/>
      <c r="J308" s="83">
        <v>0</v>
      </c>
      <c r="K308" s="84">
        <v>0</v>
      </c>
      <c r="L308" t="b">
        <f>=OR(AND(D308=1,J308=0,K308=1),AND(D308=0,K308=0))</f>
        <v>1</v>
      </c>
    </row>
    <row r="309" spans="1:12">
      <c r="A309" s="76" t="s"/>
      <c r="B309" s="22" t="s">
        <v>24</v>
      </c>
      <c r="C309" s="9" t="s">
        <v>20</v>
      </c>
      <c r="D309" s="77">
        <v>0</v>
      </c>
      <c r="E309" s="5" t="s"/>
      <c r="F309" s="5" t="s"/>
      <c r="G309" s="5" t="s"/>
      <c r="H309" s="25" t="s"/>
      <c r="I309" s="25" t="s"/>
      <c r="J309" s="83">
        <v>0</v>
      </c>
      <c r="K309" s="84">
        <v>0</v>
      </c>
      <c r="L309" t="b">
        <f>=OR(AND(D309=1,J309=0,K309=1),AND(D309=0,K309=0))</f>
        <v>1</v>
      </c>
    </row>
    <row r="310" spans="1:12">
      <c r="A310" s="80" t="s"/>
      <c r="B310" s="22" t="s">
        <v>24</v>
      </c>
      <c r="C310" s="9" t="s">
        <v>22</v>
      </c>
      <c r="D310" s="77">
        <v>0</v>
      </c>
      <c r="E310" s="5" t="s"/>
      <c r="F310" s="5" t="s"/>
      <c r="G310" s="5" t="s"/>
      <c r="H310" s="25" t="s"/>
      <c r="I310" s="25" t="s"/>
      <c r="J310" s="81">
        <v>0</v>
      </c>
      <c r="K310" s="82">
        <v>0</v>
      </c>
      <c r="L310" t="b">
        <f>=OR(AND(D310=1,J310=0,K310=1),AND(D310=0,K310=0))</f>
        <v>1</v>
      </c>
    </row>
    <row r="311" spans="1:12">
      <c r="A311" s="80" t="s"/>
      <c r="B311" s="22" t="s">
        <v>24</v>
      </c>
      <c r="C311" s="9" t="s">
        <v>24</v>
      </c>
      <c r="D311" s="85">
        <v>0</v>
      </c>
      <c r="E311" s="6" t="s"/>
      <c r="F311" s="6" t="s"/>
      <c r="G311" s="6" t="s"/>
      <c r="H311" s="34" t="s"/>
      <c r="I311" s="34" t="s"/>
      <c r="J311" s="88">
        <v>1</v>
      </c>
      <c r="K311" s="89">
        <v>0</v>
      </c>
      <c r="L311" t="b">
        <f>=OR(AND(D311=1,J311=0,K311=1),AND(D311=0,K311=0))</f>
        <v>1</v>
      </c>
    </row>
    <row r="312" spans="1:12">
      <c r="A312" s="76" t="s">
        <v>38</v>
      </c>
      <c r="B312" s="12" t="s">
        <v>12</v>
      </c>
      <c r="C312" s="13" t="s">
        <v>12</v>
      </c>
      <c r="D312" s="77">
        <v>1</v>
      </c>
      <c r="E312" s="5" t="s"/>
      <c r="F312" s="5" t="s"/>
      <c r="G312" s="5" t="s"/>
      <c r="H312" s="25" t="s"/>
      <c r="I312" s="25" t="s"/>
      <c r="J312" s="78">
        <v>1</v>
      </c>
      <c r="K312" s="79">
        <v>0</v>
      </c>
      <c r="L312" t="b">
        <f>=OR(AND(D312=1,K312=0),AND(D312=0,K312=1))</f>
        <v>1</v>
      </c>
    </row>
    <row r="313" spans="1:12">
      <c r="A313" s="80" t="s"/>
      <c r="B313" s="22" t="s">
        <v>12</v>
      </c>
      <c r="C313" s="9" t="s">
        <v>14</v>
      </c>
      <c r="D313" s="77">
        <v>1</v>
      </c>
      <c r="E313" s="5" t="s"/>
      <c r="F313" s="5" t="s"/>
      <c r="G313" s="5" t="s"/>
      <c r="H313" s="25" t="s"/>
      <c r="I313" s="25" t="s"/>
      <c r="J313" s="81">
        <v>1</v>
      </c>
      <c r="K313" s="82">
        <v>0</v>
      </c>
      <c r="L313" t="b">
        <f>=OR(AND(D313=1,K313=0),AND(D313=0,K313=1))</f>
        <v>1</v>
      </c>
    </row>
    <row r="314" spans="1:12">
      <c r="A314" s="80" t="s"/>
      <c r="B314" s="28" t="s">
        <v>12</v>
      </c>
      <c r="C314" s="9" t="s">
        <v>16</v>
      </c>
      <c r="D314" s="77">
        <v>0</v>
      </c>
      <c r="E314" s="5" t="s"/>
      <c r="F314" s="5" t="s"/>
      <c r="G314" s="5" t="s"/>
      <c r="H314" s="25" t="s"/>
      <c r="I314" s="25" t="s"/>
      <c r="J314" s="81">
        <v>0</v>
      </c>
      <c r="K314" s="82">
        <v>1</v>
      </c>
      <c r="L314" t="b">
        <f>=OR(AND(D314=1,K314=0),AND(D314=0,K314=1))</f>
        <v>1</v>
      </c>
    </row>
    <row r="315" spans="1:12">
      <c r="A315" s="76" t="s"/>
      <c r="B315" s="28" t="s">
        <v>12</v>
      </c>
      <c r="C315" s="9" t="s">
        <v>18</v>
      </c>
      <c r="D315" s="77">
        <v>1</v>
      </c>
      <c r="E315" s="5" t="s"/>
      <c r="F315" s="5" t="s"/>
      <c r="G315" s="5" t="s"/>
      <c r="H315" s="25" t="s"/>
      <c r="I315" s="25" t="s"/>
      <c r="J315" s="83">
        <v>0</v>
      </c>
      <c r="K315" s="84">
        <v>0</v>
      </c>
      <c r="L315" t="b">
        <f>=OR(AND(D315=1,K315=0),AND(D315=0,K315=1))</f>
        <v>1</v>
      </c>
    </row>
    <row r="316" spans="1:12">
      <c r="A316" s="76" t="s"/>
      <c r="B316" s="28" t="s">
        <v>12</v>
      </c>
      <c r="C316" s="9" t="s">
        <v>20</v>
      </c>
      <c r="D316" s="77">
        <v>1</v>
      </c>
      <c r="E316" s="5" t="s"/>
      <c r="F316" s="5" t="s"/>
      <c r="G316" s="5" t="s"/>
      <c r="H316" s="25" t="s"/>
      <c r="I316" s="25" t="s"/>
      <c r="J316" s="83">
        <v>0</v>
      </c>
      <c r="K316" s="84">
        <v>0</v>
      </c>
      <c r="L316" t="b">
        <f>=OR(AND(D316=1,K316=0),AND(D316=0,K316=1))</f>
        <v>1</v>
      </c>
    </row>
    <row r="317" spans="1:12">
      <c r="A317" s="76" t="s"/>
      <c r="B317" s="22" t="s">
        <v>12</v>
      </c>
      <c r="C317" s="9" t="s">
        <v>22</v>
      </c>
      <c r="D317" s="77">
        <v>1</v>
      </c>
      <c r="E317" s="5" t="s"/>
      <c r="F317" s="5" t="s"/>
      <c r="G317" s="5" t="s"/>
      <c r="H317" s="25" t="s"/>
      <c r="I317" s="25" t="s"/>
      <c r="J317" s="83">
        <v>1</v>
      </c>
      <c r="K317" s="84">
        <v>0</v>
      </c>
      <c r="L317" t="b">
        <f>=OR(AND(D317=1,K317=0),AND(D317=0,K317=1))</f>
        <v>1</v>
      </c>
    </row>
    <row r="318" spans="1:12">
      <c r="A318" s="76" t="s"/>
      <c r="B318" s="22" t="s">
        <v>12</v>
      </c>
      <c r="C318" s="9" t="s">
        <v>24</v>
      </c>
      <c r="D318" s="77">
        <v>0</v>
      </c>
      <c r="E318" s="5" t="s"/>
      <c r="F318" s="5" t="s"/>
      <c r="G318" s="5" t="s"/>
      <c r="H318" s="25" t="s"/>
      <c r="I318" s="25" t="s"/>
      <c r="J318" s="83">
        <v>0</v>
      </c>
      <c r="K318" s="84">
        <v>1</v>
      </c>
      <c r="L318" t="b">
        <f>=OR(AND(D318=1,K318=0),AND(D318=0,K318=1))</f>
        <v>1</v>
      </c>
    </row>
    <row r="319" spans="1:12">
      <c r="A319" s="76" t="s"/>
      <c r="B319" s="22" t="s">
        <v>14</v>
      </c>
      <c r="C319" s="9" t="s">
        <v>12</v>
      </c>
      <c r="D319" s="77">
        <v>1</v>
      </c>
      <c r="E319" s="5" t="s"/>
      <c r="F319" s="5" t="s"/>
      <c r="G319" s="5" t="s"/>
      <c r="H319" s="25" t="s"/>
      <c r="I319" s="25" t="s"/>
      <c r="J319" s="83">
        <v>1</v>
      </c>
      <c r="K319" s="84">
        <v>0</v>
      </c>
      <c r="L319" t="b">
        <f>=OR(AND(D319=1,K319=0),AND(D319=0,K319=1))</f>
        <v>1</v>
      </c>
    </row>
    <row r="320" spans="1:12">
      <c r="A320" s="76" t="s"/>
      <c r="B320" s="7" t="s">
        <v>14</v>
      </c>
      <c r="C320" s="9" t="s">
        <v>14</v>
      </c>
      <c r="D320" s="77">
        <v>1</v>
      </c>
      <c r="E320" s="5" t="s"/>
      <c r="F320" s="5" t="s"/>
      <c r="G320" s="5" t="s"/>
      <c r="H320" s="25" t="s"/>
      <c r="I320" s="25" t="s"/>
      <c r="J320" s="83">
        <v>1</v>
      </c>
      <c r="K320" s="84">
        <v>0</v>
      </c>
      <c r="L320" t="b">
        <f>=OR(AND(D320=1,K320=0),AND(D320=0,K320=1))</f>
        <v>1</v>
      </c>
    </row>
    <row r="321" spans="1:12">
      <c r="A321" s="76" t="s"/>
      <c r="B321" s="22" t="s">
        <v>14</v>
      </c>
      <c r="C321" s="9" t="s">
        <v>16</v>
      </c>
      <c r="D321" s="77">
        <v>0</v>
      </c>
      <c r="E321" s="5" t="s"/>
      <c r="F321" s="5" t="s"/>
      <c r="G321" s="5" t="s"/>
      <c r="H321" s="25" t="s"/>
      <c r="I321" s="25" t="s"/>
      <c r="J321" s="83">
        <v>0</v>
      </c>
      <c r="K321" s="84">
        <v>1</v>
      </c>
      <c r="L321" t="b">
        <f>=OR(AND(D321=1,K321=0),AND(D321=0,K321=1))</f>
        <v>1</v>
      </c>
    </row>
    <row r="322" spans="1:12">
      <c r="A322" s="76" t="s"/>
      <c r="B322" s="22" t="s">
        <v>14</v>
      </c>
      <c r="C322" s="9" t="s">
        <v>18</v>
      </c>
      <c r="D322" s="77">
        <v>1</v>
      </c>
      <c r="E322" s="5" t="s"/>
      <c r="F322" s="5" t="s"/>
      <c r="G322" s="5" t="s"/>
      <c r="H322" s="25" t="s"/>
      <c r="I322" s="25" t="s"/>
      <c r="J322" s="83">
        <v>0</v>
      </c>
      <c r="K322" s="84">
        <v>0</v>
      </c>
      <c r="L322" t="b">
        <f>=OR(AND(D322=1,K322=0),AND(D322=0,K322=1))</f>
        <v>1</v>
      </c>
    </row>
    <row r="323" spans="1:12">
      <c r="A323" s="76" t="s"/>
      <c r="B323" s="22" t="s">
        <v>14</v>
      </c>
      <c r="C323" s="9" t="s">
        <v>20</v>
      </c>
      <c r="D323" s="77">
        <v>1</v>
      </c>
      <c r="E323" s="5" t="s"/>
      <c r="F323" s="5" t="s"/>
      <c r="G323" s="5" t="s"/>
      <c r="H323" s="25" t="s"/>
      <c r="I323" s="25" t="s"/>
      <c r="J323" s="83">
        <v>0</v>
      </c>
      <c r="K323" s="84">
        <v>0</v>
      </c>
      <c r="L323" t="b">
        <f>=OR(AND(D323=1,K323=0),AND(D323=0,K323=1))</f>
        <v>1</v>
      </c>
    </row>
    <row r="324" spans="1:12">
      <c r="A324" s="76" t="s"/>
      <c r="B324" s="22" t="s">
        <v>14</v>
      </c>
      <c r="C324" s="9" t="s">
        <v>22</v>
      </c>
      <c r="D324" s="77">
        <v>1</v>
      </c>
      <c r="E324" s="5" t="s"/>
      <c r="F324" s="5" t="s"/>
      <c r="G324" s="5" t="s"/>
      <c r="H324" s="25" t="s"/>
      <c r="I324" s="25" t="s"/>
      <c r="J324" s="83">
        <v>1</v>
      </c>
      <c r="K324" s="84">
        <v>0</v>
      </c>
      <c r="L324" t="b">
        <f>=OR(AND(D324=1,K324=0),AND(D324=0,K324=1))</f>
        <v>1</v>
      </c>
    </row>
    <row r="325" spans="1:12">
      <c r="A325" s="76" t="s"/>
      <c r="B325" s="22" t="s">
        <v>14</v>
      </c>
      <c r="C325" s="9" t="s">
        <v>24</v>
      </c>
      <c r="D325" s="77">
        <v>0</v>
      </c>
      <c r="E325" s="5" t="s"/>
      <c r="F325" s="5" t="s"/>
      <c r="G325" s="5" t="s"/>
      <c r="H325" s="25" t="s"/>
      <c r="I325" s="25" t="s"/>
      <c r="J325" s="83">
        <v>0</v>
      </c>
      <c r="K325" s="84">
        <v>1</v>
      </c>
      <c r="L325" t="b">
        <f>=OR(AND(D325=1,K325=0),AND(D325=0,K325=1))</f>
        <v>1</v>
      </c>
    </row>
    <row r="326" spans="1:12">
      <c r="A326" s="76" t="s"/>
      <c r="B326" s="22" t="s">
        <v>16</v>
      </c>
      <c r="C326" s="9" t="s">
        <v>12</v>
      </c>
      <c r="D326" s="77">
        <v>1</v>
      </c>
      <c r="E326" s="5" t="s"/>
      <c r="F326" s="5" t="s"/>
      <c r="G326" s="5" t="s"/>
      <c r="H326" s="25" t="s"/>
      <c r="I326" s="25" t="s"/>
      <c r="J326" s="83">
        <v>0</v>
      </c>
      <c r="K326" s="84">
        <v>0</v>
      </c>
      <c r="L326" t="b">
        <f>=OR(AND(D326=1,K326=0),AND(D326=0,K326=1))</f>
        <v>1</v>
      </c>
    </row>
    <row r="327" spans="1:12">
      <c r="A327" s="76" t="s"/>
      <c r="B327" s="22" t="s">
        <v>16</v>
      </c>
      <c r="C327" s="9" t="s">
        <v>14</v>
      </c>
      <c r="D327" s="77">
        <v>1</v>
      </c>
      <c r="E327" s="5" t="s"/>
      <c r="F327" s="5" t="s"/>
      <c r="G327" s="5" t="s"/>
      <c r="H327" s="25" t="s"/>
      <c r="I327" s="25" t="s"/>
      <c r="J327" s="83">
        <v>0</v>
      </c>
      <c r="K327" s="84">
        <v>0</v>
      </c>
      <c r="L327" t="b">
        <f>=OR(AND(D327=1,K327=0),AND(D327=0,K327=1))</f>
        <v>1</v>
      </c>
    </row>
    <row r="328" spans="1:12">
      <c r="A328" s="76" t="s"/>
      <c r="B328" s="22" t="s">
        <v>16</v>
      </c>
      <c r="C328" s="9" t="s">
        <v>16</v>
      </c>
      <c r="D328" s="77">
        <v>1</v>
      </c>
      <c r="E328" s="5" t="s"/>
      <c r="F328" s="5" t="s"/>
      <c r="G328" s="5" t="s"/>
      <c r="H328" s="25" t="s"/>
      <c r="I328" s="25" t="s"/>
      <c r="J328" s="83">
        <v>1</v>
      </c>
      <c r="K328" s="84">
        <v>0</v>
      </c>
      <c r="L328" t="b">
        <f>=OR(AND(D328=1,K328=0),AND(D328=0,K328=1))</f>
        <v>1</v>
      </c>
    </row>
    <row r="329" spans="1:12">
      <c r="A329" s="76" t="s"/>
      <c r="B329" s="22" t="s">
        <v>16</v>
      </c>
      <c r="C329" s="9" t="s">
        <v>18</v>
      </c>
      <c r="D329" s="77">
        <v>1</v>
      </c>
      <c r="E329" s="5" t="s"/>
      <c r="F329" s="5" t="s"/>
      <c r="G329" s="5" t="s"/>
      <c r="H329" s="25" t="s"/>
      <c r="I329" s="25" t="s"/>
      <c r="J329" s="83">
        <v>0</v>
      </c>
      <c r="K329" s="84">
        <v>0</v>
      </c>
      <c r="L329" t="b">
        <f>=OR(AND(D329=1,K329=0),AND(D329=0,K329=1))</f>
        <v>1</v>
      </c>
    </row>
    <row r="330" spans="1:12">
      <c r="A330" s="76" t="s"/>
      <c r="B330" s="22" t="s">
        <v>16</v>
      </c>
      <c r="C330" s="9" t="s">
        <v>20</v>
      </c>
      <c r="D330" s="77">
        <v>1</v>
      </c>
      <c r="E330" s="5" t="s"/>
      <c r="F330" s="5" t="s"/>
      <c r="G330" s="5" t="s"/>
      <c r="H330" s="25" t="s"/>
      <c r="I330" s="25" t="s"/>
      <c r="J330" s="83">
        <v>0</v>
      </c>
      <c r="K330" s="84">
        <v>0</v>
      </c>
      <c r="L330" t="b">
        <f>=OR(AND(D330=1,K330=0),AND(D330=0,K330=1))</f>
        <v>1</v>
      </c>
    </row>
    <row r="331" spans="1:12">
      <c r="A331" s="76" t="s"/>
      <c r="B331" s="22" t="s">
        <v>16</v>
      </c>
      <c r="C331" s="9" t="s">
        <v>22</v>
      </c>
      <c r="D331" s="77">
        <v>1</v>
      </c>
      <c r="E331" s="5" t="s"/>
      <c r="F331" s="5" t="s"/>
      <c r="G331" s="5" t="s"/>
      <c r="H331" s="25" t="s"/>
      <c r="I331" s="25" t="s"/>
      <c r="J331" s="83">
        <v>0</v>
      </c>
      <c r="K331" s="84">
        <v>0</v>
      </c>
      <c r="L331" t="b">
        <f>=OR(AND(D331=1,K331=0),AND(D331=0,K331=1))</f>
        <v>1</v>
      </c>
    </row>
    <row r="332" spans="1:12">
      <c r="A332" s="76" t="s"/>
      <c r="B332" s="22" t="s">
        <v>16</v>
      </c>
      <c r="C332" s="9" t="s">
        <v>24</v>
      </c>
      <c r="D332" s="77">
        <v>1</v>
      </c>
      <c r="E332" s="5" t="s"/>
      <c r="F332" s="5" t="s"/>
      <c r="G332" s="5" t="s"/>
      <c r="H332" s="25" t="s"/>
      <c r="I332" s="25" t="s"/>
      <c r="J332" s="83">
        <v>1</v>
      </c>
      <c r="K332" s="84">
        <v>0</v>
      </c>
      <c r="L332" t="b">
        <f>=OR(AND(D332=1,K332=0),AND(D332=0,K332=1))</f>
        <v>1</v>
      </c>
    </row>
    <row r="333" spans="1:12">
      <c r="A333" s="76" t="s"/>
      <c r="B333" s="22" t="s">
        <v>18</v>
      </c>
      <c r="C333" s="9" t="s">
        <v>12</v>
      </c>
      <c r="D333" s="77">
        <v>0</v>
      </c>
      <c r="E333" s="5" t="s"/>
      <c r="F333" s="5" t="s"/>
      <c r="G333" s="5" t="s"/>
      <c r="H333" s="25" t="s"/>
      <c r="I333" s="25" t="s"/>
      <c r="J333" s="83">
        <v>0</v>
      </c>
      <c r="K333" s="84">
        <v>1</v>
      </c>
      <c r="L333" t="b">
        <f>=OR(AND(D333=1,K333=0),AND(D333=0,K333=1))</f>
        <v>1</v>
      </c>
    </row>
    <row r="334" spans="1:12">
      <c r="A334" s="76" t="s"/>
      <c r="B334" s="22" t="s">
        <v>18</v>
      </c>
      <c r="C334" s="9" t="s">
        <v>14</v>
      </c>
      <c r="D334" s="77">
        <v>0</v>
      </c>
      <c r="E334" s="5" t="s"/>
      <c r="F334" s="5" t="s"/>
      <c r="G334" s="5" t="s"/>
      <c r="H334" s="25" t="s"/>
      <c r="I334" s="25" t="s"/>
      <c r="J334" s="83">
        <v>0</v>
      </c>
      <c r="K334" s="84">
        <v>1</v>
      </c>
      <c r="L334" t="b">
        <f>=OR(AND(D334=1,K334=0),AND(D334=0,K334=1))</f>
        <v>1</v>
      </c>
    </row>
    <row r="335" spans="1:12">
      <c r="A335" s="76" t="s"/>
      <c r="B335" s="22" t="s">
        <v>18</v>
      </c>
      <c r="C335" s="9" t="s">
        <v>16</v>
      </c>
      <c r="D335" s="77">
        <v>0</v>
      </c>
      <c r="E335" s="5" t="s"/>
      <c r="F335" s="5" t="s"/>
      <c r="G335" s="5" t="s"/>
      <c r="H335" s="25" t="s"/>
      <c r="I335" s="25" t="s"/>
      <c r="J335" s="83">
        <v>0</v>
      </c>
      <c r="K335" s="84">
        <v>1</v>
      </c>
      <c r="L335" t="b">
        <f>=OR(AND(D335=1,K335=0),AND(D335=0,K335=1))</f>
        <v>1</v>
      </c>
    </row>
    <row r="336" spans="1:12">
      <c r="A336" s="76" t="s"/>
      <c r="B336" s="22" t="s">
        <v>18</v>
      </c>
      <c r="C336" s="9" t="s">
        <v>18</v>
      </c>
      <c r="D336" s="77">
        <v>1</v>
      </c>
      <c r="E336" s="5" t="s"/>
      <c r="F336" s="5" t="s"/>
      <c r="G336" s="5" t="s"/>
      <c r="H336" s="25" t="s"/>
      <c r="I336" s="25" t="s"/>
      <c r="J336" s="83">
        <v>1</v>
      </c>
      <c r="K336" s="84">
        <v>0</v>
      </c>
      <c r="L336" t="b">
        <f>=OR(AND(D336=1,K336=0),AND(D336=0,K336=1))</f>
        <v>1</v>
      </c>
    </row>
    <row r="337" spans="1:12">
      <c r="A337" s="76" t="s"/>
      <c r="B337" s="22" t="s">
        <v>18</v>
      </c>
      <c r="C337" s="9" t="s">
        <v>20</v>
      </c>
      <c r="D337" s="77">
        <v>1</v>
      </c>
      <c r="E337" s="5" t="s"/>
      <c r="F337" s="5" t="s"/>
      <c r="G337" s="5" t="s"/>
      <c r="H337" s="25" t="s"/>
      <c r="I337" s="25" t="s"/>
      <c r="J337" s="83">
        <v>1</v>
      </c>
      <c r="K337" s="84">
        <v>0</v>
      </c>
      <c r="L337" t="b">
        <f>=OR(AND(D337=1,K337=0),AND(D337=0,K337=1))</f>
        <v>1</v>
      </c>
    </row>
    <row r="338" spans="1:12">
      <c r="A338" s="76" t="s"/>
      <c r="B338" s="22" t="s">
        <v>18</v>
      </c>
      <c r="C338" s="9" t="s">
        <v>22</v>
      </c>
      <c r="D338" s="77">
        <v>0</v>
      </c>
      <c r="E338" s="5" t="s"/>
      <c r="F338" s="5" t="s"/>
      <c r="G338" s="5" t="s"/>
      <c r="H338" s="25" t="s"/>
      <c r="I338" s="25" t="s"/>
      <c r="J338" s="83">
        <v>0</v>
      </c>
      <c r="K338" s="84">
        <v>1</v>
      </c>
      <c r="L338" t="b">
        <f>=OR(AND(D338=1,K338=0),AND(D338=0,K338=1))</f>
        <v>1</v>
      </c>
    </row>
    <row r="339" spans="1:12">
      <c r="A339" s="76" t="s"/>
      <c r="B339" s="22" t="s">
        <v>18</v>
      </c>
      <c r="C339" s="9" t="s">
        <v>24</v>
      </c>
      <c r="D339" s="77">
        <v>0</v>
      </c>
      <c r="E339" s="5" t="s"/>
      <c r="F339" s="5" t="s"/>
      <c r="G339" s="5" t="s"/>
      <c r="H339" s="25" t="s"/>
      <c r="I339" s="25" t="s"/>
      <c r="J339" s="83">
        <v>0</v>
      </c>
      <c r="K339" s="84">
        <v>1</v>
      </c>
      <c r="L339" t="b">
        <f>=OR(AND(D339=1,K339=0),AND(D339=0,K339=1))</f>
        <v>1</v>
      </c>
    </row>
    <row r="340" spans="1:12">
      <c r="A340" s="76" t="s"/>
      <c r="B340" s="22" t="s">
        <v>20</v>
      </c>
      <c r="C340" s="9" t="s">
        <v>12</v>
      </c>
      <c r="D340" s="77">
        <v>0</v>
      </c>
      <c r="E340" s="5" t="s"/>
      <c r="F340" s="5" t="s"/>
      <c r="G340" s="5" t="s"/>
      <c r="H340" s="25" t="s"/>
      <c r="I340" s="25" t="s"/>
      <c r="J340" s="83">
        <v>0</v>
      </c>
      <c r="K340" s="84">
        <v>1</v>
      </c>
      <c r="L340" t="b">
        <f>=OR(AND(D340=1,K340=0),AND(D340=0,K340=1))</f>
        <v>1</v>
      </c>
    </row>
    <row r="341" spans="1:12">
      <c r="A341" s="76" t="s"/>
      <c r="B341" s="22" t="s">
        <v>20</v>
      </c>
      <c r="C341" s="9" t="s">
        <v>14</v>
      </c>
      <c r="D341" s="77">
        <v>0</v>
      </c>
      <c r="E341" s="5" t="s"/>
      <c r="F341" s="5" t="s"/>
      <c r="G341" s="5" t="s"/>
      <c r="H341" s="25" t="s"/>
      <c r="I341" s="25" t="s"/>
      <c r="J341" s="83">
        <v>0</v>
      </c>
      <c r="K341" s="84">
        <v>1</v>
      </c>
      <c r="L341" t="b">
        <f>=OR(AND(D341=1,K341=0),AND(D341=0,K341=1))</f>
        <v>1</v>
      </c>
    </row>
    <row r="342" spans="1:12">
      <c r="A342" s="76" t="s"/>
      <c r="B342" s="22" t="s">
        <v>20</v>
      </c>
      <c r="C342" s="9" t="s">
        <v>16</v>
      </c>
      <c r="D342" s="77">
        <v>0</v>
      </c>
      <c r="E342" s="5" t="s"/>
      <c r="F342" s="5" t="s"/>
      <c r="G342" s="5" t="s"/>
      <c r="H342" s="25" t="s"/>
      <c r="I342" s="25" t="s"/>
      <c r="J342" s="83">
        <v>0</v>
      </c>
      <c r="K342" s="84">
        <v>1</v>
      </c>
      <c r="L342" t="b">
        <f>=OR(AND(D342=1,K342=0),AND(D342=0,K342=1))</f>
        <v>1</v>
      </c>
    </row>
    <row r="343" spans="1:12">
      <c r="A343" s="76" t="s"/>
      <c r="B343" s="22" t="s">
        <v>20</v>
      </c>
      <c r="C343" s="9" t="s">
        <v>18</v>
      </c>
      <c r="D343" s="77">
        <v>1</v>
      </c>
      <c r="E343" s="5" t="s"/>
      <c r="F343" s="5" t="s"/>
      <c r="G343" s="5" t="s"/>
      <c r="H343" s="25" t="s"/>
      <c r="I343" s="25" t="s"/>
      <c r="J343" s="83">
        <v>1</v>
      </c>
      <c r="K343" s="84">
        <v>0</v>
      </c>
      <c r="L343" t="b">
        <f>=OR(AND(D343=1,K343=0),AND(D343=0,K343=1))</f>
        <v>1</v>
      </c>
    </row>
    <row r="344" spans="1:12">
      <c r="A344" s="76" t="s"/>
      <c r="B344" s="22" t="s">
        <v>20</v>
      </c>
      <c r="C344" s="9" t="s">
        <v>20</v>
      </c>
      <c r="D344" s="77">
        <v>1</v>
      </c>
      <c r="E344" s="5" t="s"/>
      <c r="F344" s="5" t="s"/>
      <c r="G344" s="5" t="s"/>
      <c r="H344" s="25" t="s"/>
      <c r="I344" s="25" t="s"/>
      <c r="J344" s="83">
        <v>1</v>
      </c>
      <c r="K344" s="84">
        <v>0</v>
      </c>
      <c r="L344" t="b">
        <f>=OR(AND(D344=1,K344=0),AND(D344=0,K344=1))</f>
        <v>1</v>
      </c>
    </row>
    <row r="345" spans="1:12">
      <c r="A345" s="76" t="s"/>
      <c r="B345" s="22" t="s">
        <v>20</v>
      </c>
      <c r="C345" s="9" t="s">
        <v>22</v>
      </c>
      <c r="D345" s="77">
        <v>0</v>
      </c>
      <c r="E345" s="5" t="s"/>
      <c r="F345" s="5" t="s"/>
      <c r="G345" s="5" t="s"/>
      <c r="H345" s="25" t="s"/>
      <c r="I345" s="25" t="s"/>
      <c r="J345" s="83">
        <v>0</v>
      </c>
      <c r="K345" s="84">
        <v>1</v>
      </c>
      <c r="L345" t="b">
        <f>=OR(AND(D345=1,K345=0),AND(D345=0,K345=1))</f>
        <v>1</v>
      </c>
    </row>
    <row r="346" spans="1:12">
      <c r="A346" s="76" t="s"/>
      <c r="B346" s="22" t="s">
        <v>20</v>
      </c>
      <c r="C346" s="9" t="s">
        <v>24</v>
      </c>
      <c r="D346" s="77">
        <v>0</v>
      </c>
      <c r="E346" s="5" t="s"/>
      <c r="F346" s="5" t="s"/>
      <c r="G346" s="5" t="s"/>
      <c r="H346" s="25" t="s"/>
      <c r="I346" s="25" t="s"/>
      <c r="J346" s="83">
        <v>0</v>
      </c>
      <c r="K346" s="84">
        <v>1</v>
      </c>
      <c r="L346" t="b">
        <f>=OR(AND(D346=1,K346=0),AND(D346=0,K346=1))</f>
        <v>1</v>
      </c>
    </row>
    <row r="347" spans="1:12">
      <c r="A347" s="76" t="s"/>
      <c r="B347" s="22" t="s">
        <v>22</v>
      </c>
      <c r="C347" s="9" t="s">
        <v>12</v>
      </c>
      <c r="D347" s="77">
        <v>1</v>
      </c>
      <c r="E347" s="5" t="s"/>
      <c r="F347" s="5" t="s"/>
      <c r="G347" s="5" t="s"/>
      <c r="H347" s="25" t="s"/>
      <c r="I347" s="25" t="s"/>
      <c r="J347" s="83">
        <v>1</v>
      </c>
      <c r="K347" s="84">
        <v>0</v>
      </c>
      <c r="L347" t="b">
        <f>=OR(AND(D347=1,K347=0),AND(D347=0,K347=1))</f>
        <v>1</v>
      </c>
    </row>
    <row r="348" spans="1:12">
      <c r="A348" s="76" t="s"/>
      <c r="B348" s="22" t="s">
        <v>22</v>
      </c>
      <c r="C348" s="9" t="s">
        <v>14</v>
      </c>
      <c r="D348" s="77">
        <v>1</v>
      </c>
      <c r="E348" s="5" t="s"/>
      <c r="F348" s="5" t="s"/>
      <c r="G348" s="5" t="s"/>
      <c r="H348" s="25" t="s"/>
      <c r="I348" s="25" t="s"/>
      <c r="J348" s="83">
        <v>1</v>
      </c>
      <c r="K348" s="84">
        <v>0</v>
      </c>
      <c r="L348" t="b">
        <f>=OR(AND(D348=1,K348=0),AND(D348=0,K348=1))</f>
        <v>1</v>
      </c>
    </row>
    <row r="349" spans="1:12">
      <c r="A349" s="76" t="s"/>
      <c r="B349" s="22" t="s">
        <v>22</v>
      </c>
      <c r="C349" s="9" t="s">
        <v>16</v>
      </c>
      <c r="D349" s="77">
        <v>0</v>
      </c>
      <c r="E349" s="5" t="s"/>
      <c r="F349" s="5" t="s"/>
      <c r="G349" s="5" t="s"/>
      <c r="H349" s="25" t="s"/>
      <c r="I349" s="25" t="s"/>
      <c r="J349" s="83">
        <v>0</v>
      </c>
      <c r="K349" s="84">
        <v>1</v>
      </c>
      <c r="L349" t="b">
        <f>=OR(AND(D349=1,K349=0),AND(D349=0,K349=1))</f>
        <v>1</v>
      </c>
    </row>
    <row r="350" spans="1:12">
      <c r="A350" s="76" t="s"/>
      <c r="B350" s="22" t="s">
        <v>22</v>
      </c>
      <c r="C350" s="9" t="s">
        <v>18</v>
      </c>
      <c r="D350" s="77">
        <v>1</v>
      </c>
      <c r="E350" s="5" t="s"/>
      <c r="F350" s="5" t="s"/>
      <c r="G350" s="5" t="s"/>
      <c r="H350" s="25" t="s"/>
      <c r="I350" s="25" t="s"/>
      <c r="J350" s="83">
        <v>0</v>
      </c>
      <c r="K350" s="84">
        <v>0</v>
      </c>
      <c r="L350" t="b">
        <f>=OR(AND(D350=1,K350=0),AND(D350=0,K350=1))</f>
        <v>1</v>
      </c>
    </row>
    <row r="351" spans="1:12">
      <c r="A351" s="76" t="s"/>
      <c r="B351" s="22" t="s">
        <v>22</v>
      </c>
      <c r="C351" s="9" t="s">
        <v>20</v>
      </c>
      <c r="D351" s="77">
        <v>1</v>
      </c>
      <c r="E351" s="5" t="s"/>
      <c r="F351" s="5" t="s"/>
      <c r="G351" s="5" t="s"/>
      <c r="H351" s="25" t="s"/>
      <c r="I351" s="25" t="s"/>
      <c r="J351" s="83">
        <v>0</v>
      </c>
      <c r="K351" s="84">
        <v>0</v>
      </c>
      <c r="L351" t="b">
        <f>=OR(AND(D351=1,K351=0),AND(D351=0,K351=1))</f>
        <v>1</v>
      </c>
    </row>
    <row r="352" spans="1:12">
      <c r="A352" s="76" t="s"/>
      <c r="B352" s="22" t="s">
        <v>22</v>
      </c>
      <c r="C352" s="9" t="s">
        <v>22</v>
      </c>
      <c r="D352" s="77">
        <v>1</v>
      </c>
      <c r="E352" s="5" t="s"/>
      <c r="F352" s="5" t="s"/>
      <c r="G352" s="5" t="s"/>
      <c r="H352" s="25" t="s"/>
      <c r="I352" s="25" t="s"/>
      <c r="J352" s="83">
        <v>1</v>
      </c>
      <c r="K352" s="84">
        <v>0</v>
      </c>
      <c r="L352" t="b">
        <f>=OR(AND(D352=1,K352=0),AND(D352=0,K352=1))</f>
        <v>1</v>
      </c>
    </row>
    <row r="353" spans="1:12">
      <c r="A353" s="76" t="s"/>
      <c r="B353" s="22" t="s">
        <v>22</v>
      </c>
      <c r="C353" s="9" t="s">
        <v>24</v>
      </c>
      <c r="D353" s="77">
        <v>0</v>
      </c>
      <c r="E353" s="5" t="s"/>
      <c r="F353" s="5" t="s"/>
      <c r="G353" s="5" t="s"/>
      <c r="H353" s="25" t="s"/>
      <c r="I353" s="25" t="s"/>
      <c r="J353" s="83">
        <v>0</v>
      </c>
      <c r="K353" s="84">
        <v>1</v>
      </c>
      <c r="L353" t="b">
        <f>=OR(AND(D353=1,K353=0),AND(D353=0,K353=1))</f>
        <v>1</v>
      </c>
    </row>
    <row r="354" spans="1:12">
      <c r="A354" s="76" t="s"/>
      <c r="B354" s="22" t="s">
        <v>24</v>
      </c>
      <c r="C354" s="9" t="s">
        <v>12</v>
      </c>
      <c r="D354" s="77">
        <v>1</v>
      </c>
      <c r="E354" s="5" t="s"/>
      <c r="F354" s="5" t="s"/>
      <c r="G354" s="5" t="s"/>
      <c r="H354" s="25" t="s"/>
      <c r="I354" s="25" t="s"/>
      <c r="J354" s="83">
        <v>0</v>
      </c>
      <c r="K354" s="84">
        <v>0</v>
      </c>
      <c r="L354" t="b">
        <f>=OR(AND(D354=1,K354=0),AND(D354=0,K354=1))</f>
        <v>1</v>
      </c>
    </row>
    <row r="355" spans="1:12">
      <c r="A355" s="76" t="s"/>
      <c r="B355" s="22" t="s">
        <v>24</v>
      </c>
      <c r="C355" s="9" t="s">
        <v>14</v>
      </c>
      <c r="D355" s="77">
        <v>1</v>
      </c>
      <c r="E355" s="5" t="s"/>
      <c r="F355" s="5" t="s"/>
      <c r="G355" s="5" t="s"/>
      <c r="H355" s="25" t="s"/>
      <c r="I355" s="25" t="s"/>
      <c r="J355" s="83">
        <v>0</v>
      </c>
      <c r="K355" s="84">
        <v>0</v>
      </c>
      <c r="L355" t="b">
        <f>=OR(AND(D355=1,K355=0),AND(D355=0,K355=1))</f>
        <v>1</v>
      </c>
    </row>
    <row r="356" spans="1:12">
      <c r="A356" s="76" t="s"/>
      <c r="B356" s="22" t="s">
        <v>24</v>
      </c>
      <c r="C356" s="9" t="s">
        <v>16</v>
      </c>
      <c r="D356" s="77">
        <v>1</v>
      </c>
      <c r="E356" s="5" t="s"/>
      <c r="F356" s="5" t="s"/>
      <c r="G356" s="5" t="s"/>
      <c r="H356" s="25" t="s"/>
      <c r="I356" s="25" t="s"/>
      <c r="J356" s="83">
        <v>1</v>
      </c>
      <c r="K356" s="84">
        <v>0</v>
      </c>
      <c r="L356" t="b">
        <f>=OR(AND(D356=1,K356=0),AND(D356=0,K356=1))</f>
        <v>1</v>
      </c>
    </row>
    <row r="357" spans="1:12">
      <c r="A357" s="76" t="s"/>
      <c r="B357" s="22" t="s">
        <v>24</v>
      </c>
      <c r="C357" s="9" t="s">
        <v>18</v>
      </c>
      <c r="D357" s="77">
        <v>1</v>
      </c>
      <c r="E357" s="5" t="s"/>
      <c r="F357" s="5" t="s"/>
      <c r="G357" s="5" t="s"/>
      <c r="H357" s="25" t="s"/>
      <c r="I357" s="25" t="s"/>
      <c r="J357" s="83">
        <v>0</v>
      </c>
      <c r="K357" s="84">
        <v>0</v>
      </c>
      <c r="L357" t="b">
        <f>=OR(AND(D357=1,K357=0),AND(D357=0,K357=1))</f>
        <v>1</v>
      </c>
    </row>
    <row r="358" spans="1:12">
      <c r="A358" s="80" t="s"/>
      <c r="B358" s="22" t="s">
        <v>24</v>
      </c>
      <c r="C358" s="9" t="s">
        <v>20</v>
      </c>
      <c r="D358" s="77">
        <v>1</v>
      </c>
      <c r="E358" s="5" t="s"/>
      <c r="F358" s="5" t="s"/>
      <c r="G358" s="5" t="s"/>
      <c r="H358" s="25" t="s"/>
      <c r="I358" s="25" t="s"/>
      <c r="J358" s="81">
        <v>0</v>
      </c>
      <c r="K358" s="82">
        <v>0</v>
      </c>
      <c r="L358" t="b">
        <f>=OR(AND(D358=1,K358=0),AND(D358=0,K358=1))</f>
        <v>1</v>
      </c>
    </row>
    <row r="359" spans="1:12">
      <c r="A359" s="80" t="s"/>
      <c r="B359" s="22" t="s">
        <v>24</v>
      </c>
      <c r="C359" s="9" t="s">
        <v>22</v>
      </c>
      <c r="D359" s="77">
        <v>1</v>
      </c>
      <c r="E359" s="5" t="s"/>
      <c r="F359" s="5" t="s"/>
      <c r="G359" s="5" t="s"/>
      <c r="H359" s="25" t="s"/>
      <c r="I359" s="25" t="s"/>
      <c r="J359" s="81">
        <v>0</v>
      </c>
      <c r="K359" s="82">
        <v>0</v>
      </c>
      <c r="L359" t="b">
        <f>=OR(AND(D359=1,K359=0),AND(D359=0,K359=1))</f>
        <v>1</v>
      </c>
    </row>
    <row r="360" spans="1:12">
      <c r="A360" s="80" t="s"/>
      <c r="B360" s="22" t="s">
        <v>24</v>
      </c>
      <c r="C360" s="9" t="s">
        <v>24</v>
      </c>
      <c r="D360" s="85">
        <v>1</v>
      </c>
      <c r="E360" s="6" t="s"/>
      <c r="F360" s="6" t="s"/>
      <c r="G360" s="6" t="s"/>
      <c r="H360" s="34" t="s"/>
      <c r="I360" s="34" t="s"/>
      <c r="J360" s="88">
        <v>1</v>
      </c>
      <c r="K360" s="89">
        <v>0</v>
      </c>
      <c r="L360" t="b">
        <f>=OR(AND(D360=1,K360=0),AND(D360=0,K360=1))</f>
        <v>1</v>
      </c>
    </row>
    <row r="361" spans="1:12">
      <c r="A361" s="76" t="s">
        <v>39</v>
      </c>
      <c r="B361" s="12" t="s">
        <v>12</v>
      </c>
      <c r="C361" s="13" t="s">
        <v>12</v>
      </c>
      <c r="D361" s="77">
        <v>1</v>
      </c>
      <c r="E361" s="5" t="s"/>
      <c r="F361" s="5" t="s"/>
      <c r="G361" s="5" t="s"/>
      <c r="H361" s="25" t="s"/>
      <c r="I361" s="25" t="s"/>
      <c r="J361" s="78">
        <v>1</v>
      </c>
      <c r="K361" s="79">
        <v>0</v>
      </c>
      <c r="L361" s="20" t="b">
        <f>=OR(AND(D361=1,OR(J361=1,K361=1)),AND(D361=0,AND(J361=0,K361=0)))</f>
        <v>1</v>
      </c>
    </row>
    <row r="362" spans="1:12">
      <c r="A362" s="80" t="s"/>
      <c r="B362" s="22" t="s">
        <v>12</v>
      </c>
      <c r="C362" s="9" t="s">
        <v>14</v>
      </c>
      <c r="D362" s="77">
        <v>1</v>
      </c>
      <c r="E362" s="5" t="s"/>
      <c r="F362" s="5" t="s"/>
      <c r="G362" s="5" t="s"/>
      <c r="H362" s="25" t="s"/>
      <c r="I362" s="25" t="s"/>
      <c r="J362" s="81">
        <v>1</v>
      </c>
      <c r="K362" s="82">
        <v>0</v>
      </c>
      <c r="L362" s="20" t="b">
        <f>=OR(AND(D362=1,OR(J362=1,K362=1)),AND(D362=0,AND(J362=0,K362=0)))</f>
        <v>1</v>
      </c>
    </row>
    <row r="363" spans="1:12">
      <c r="A363" s="80" t="s"/>
      <c r="B363" s="28" t="s">
        <v>12</v>
      </c>
      <c r="C363" s="9" t="s">
        <v>16</v>
      </c>
      <c r="D363" s="77">
        <v>1</v>
      </c>
      <c r="E363" s="5" t="s"/>
      <c r="F363" s="5" t="s"/>
      <c r="G363" s="5" t="s"/>
      <c r="H363" s="25" t="s"/>
      <c r="I363" s="25" t="s"/>
      <c r="J363" s="81">
        <v>0</v>
      </c>
      <c r="K363" s="82">
        <v>1</v>
      </c>
      <c r="L363" s="20" t="b">
        <f>=OR(AND(D363=1,OR(J363=1,K363=1)),AND(D363=0,AND(J363=0,K363=0)))</f>
        <v>1</v>
      </c>
    </row>
    <row r="364" spans="1:12">
      <c r="A364" s="76" t="s"/>
      <c r="B364" s="28" t="s">
        <v>12</v>
      </c>
      <c r="C364" s="9" t="s">
        <v>18</v>
      </c>
      <c r="D364" s="77">
        <v>0</v>
      </c>
      <c r="E364" s="5" t="s"/>
      <c r="F364" s="5" t="s"/>
      <c r="G364" s="5" t="s"/>
      <c r="H364" s="25" t="s"/>
      <c r="I364" s="25" t="s"/>
      <c r="J364" s="83">
        <v>0</v>
      </c>
      <c r="K364" s="84">
        <v>0</v>
      </c>
      <c r="L364" s="20" t="b">
        <f>=OR(AND(D364=1,OR(J364=1,K364=1)),AND(D364=0,AND(J364=0,K364=0)))</f>
        <v>1</v>
      </c>
    </row>
    <row r="365" spans="1:12">
      <c r="A365" s="76" t="s"/>
      <c r="B365" s="28" t="s">
        <v>12</v>
      </c>
      <c r="C365" s="9" t="s">
        <v>20</v>
      </c>
      <c r="D365" s="77">
        <v>0</v>
      </c>
      <c r="E365" s="5" t="s"/>
      <c r="F365" s="5" t="s"/>
      <c r="G365" s="5" t="s"/>
      <c r="H365" s="25" t="s"/>
      <c r="I365" s="25" t="s"/>
      <c r="J365" s="83">
        <v>0</v>
      </c>
      <c r="K365" s="84">
        <v>0</v>
      </c>
      <c r="L365" s="20" t="b">
        <f>=OR(AND(D365=1,OR(J365=1,K365=1)),AND(D365=0,AND(J365=0,K365=0)))</f>
        <v>1</v>
      </c>
    </row>
    <row r="366" spans="1:12">
      <c r="A366" s="76" t="s"/>
      <c r="B366" s="22" t="s">
        <v>12</v>
      </c>
      <c r="C366" s="9" t="s">
        <v>22</v>
      </c>
      <c r="D366" s="77">
        <v>1</v>
      </c>
      <c r="E366" s="5" t="s"/>
      <c r="F366" s="5" t="s"/>
      <c r="G366" s="5" t="s"/>
      <c r="H366" s="25" t="s"/>
      <c r="I366" s="25" t="s"/>
      <c r="J366" s="83">
        <v>1</v>
      </c>
      <c r="K366" s="84">
        <v>0</v>
      </c>
      <c r="L366" s="20" t="b">
        <f>=OR(AND(D366=1,OR(J366=1,K366=1)),AND(D366=0,AND(J366=0,K366=0)))</f>
        <v>1</v>
      </c>
    </row>
    <row r="367" spans="1:12">
      <c r="A367" s="76" t="s"/>
      <c r="B367" s="22" t="s">
        <v>12</v>
      </c>
      <c r="C367" s="9" t="s">
        <v>24</v>
      </c>
      <c r="D367" s="77">
        <v>1</v>
      </c>
      <c r="E367" s="5" t="s"/>
      <c r="F367" s="5" t="s"/>
      <c r="G367" s="5" t="s"/>
      <c r="H367" s="25" t="s"/>
      <c r="I367" s="25" t="s"/>
      <c r="J367" s="83">
        <v>0</v>
      </c>
      <c r="K367" s="84">
        <v>1</v>
      </c>
      <c r="L367" s="20" t="b">
        <f>=OR(AND(D367=1,OR(J367=1,K367=1)),AND(D367=0,AND(J367=0,K367=0)))</f>
        <v>1</v>
      </c>
    </row>
    <row r="368" spans="1:12">
      <c r="A368" s="76" t="s"/>
      <c r="B368" s="22" t="s">
        <v>14</v>
      </c>
      <c r="C368" s="9" t="s">
        <v>12</v>
      </c>
      <c r="D368" s="77">
        <v>1</v>
      </c>
      <c r="E368" s="5" t="s"/>
      <c r="F368" s="5" t="s"/>
      <c r="G368" s="5" t="s"/>
      <c r="H368" s="25" t="s"/>
      <c r="I368" s="25" t="s"/>
      <c r="J368" s="83">
        <v>1</v>
      </c>
      <c r="K368" s="84">
        <v>0</v>
      </c>
      <c r="L368" s="20" t="b">
        <f>=OR(AND(D368=1,OR(J368=1,K368=1)),AND(D368=0,AND(J368=0,K368=0)))</f>
        <v>1</v>
      </c>
    </row>
    <row r="369" spans="1:12">
      <c r="A369" s="76" t="s"/>
      <c r="B369" s="7" t="s">
        <v>14</v>
      </c>
      <c r="C369" s="9" t="s">
        <v>14</v>
      </c>
      <c r="D369" s="77">
        <v>1</v>
      </c>
      <c r="E369" s="5" t="s"/>
      <c r="F369" s="5" t="s"/>
      <c r="G369" s="5" t="s"/>
      <c r="H369" s="25" t="s"/>
      <c r="I369" s="25" t="s"/>
      <c r="J369" s="83">
        <v>1</v>
      </c>
      <c r="K369" s="84">
        <v>0</v>
      </c>
      <c r="L369" s="20" t="b">
        <f>=OR(AND(D369=1,OR(J369=1,K369=1)),AND(D369=0,AND(J369=0,K369=0)))</f>
        <v>1</v>
      </c>
    </row>
    <row r="370" spans="1:12">
      <c r="A370" s="76" t="s"/>
      <c r="B370" s="22" t="s">
        <v>14</v>
      </c>
      <c r="C370" s="9" t="s">
        <v>16</v>
      </c>
      <c r="D370" s="77">
        <v>1</v>
      </c>
      <c r="E370" s="5" t="s"/>
      <c r="F370" s="5" t="s"/>
      <c r="G370" s="5" t="s"/>
      <c r="H370" s="25" t="s"/>
      <c r="I370" s="25" t="s"/>
      <c r="J370" s="83">
        <v>0</v>
      </c>
      <c r="K370" s="84">
        <v>1</v>
      </c>
      <c r="L370" s="20" t="b">
        <f>=OR(AND(D370=1,OR(J370=1,K370=1)),AND(D370=0,AND(J370=0,K370=0)))</f>
        <v>1</v>
      </c>
    </row>
    <row r="371" spans="1:12">
      <c r="A371" s="76" t="s"/>
      <c r="B371" s="22" t="s">
        <v>14</v>
      </c>
      <c r="C371" s="9" t="s">
        <v>18</v>
      </c>
      <c r="D371" s="77">
        <v>0</v>
      </c>
      <c r="E371" s="5" t="s"/>
      <c r="F371" s="5" t="s"/>
      <c r="G371" s="5" t="s"/>
      <c r="H371" s="25" t="s"/>
      <c r="I371" s="25" t="s"/>
      <c r="J371" s="83">
        <v>0</v>
      </c>
      <c r="K371" s="84">
        <v>0</v>
      </c>
      <c r="L371" s="20" t="b">
        <f>=OR(AND(D371=1,OR(J371=1,K371=1)),AND(D371=0,AND(J371=0,K371=0)))</f>
        <v>1</v>
      </c>
    </row>
    <row r="372" spans="1:12">
      <c r="A372" s="76" t="s"/>
      <c r="B372" s="22" t="s">
        <v>14</v>
      </c>
      <c r="C372" s="9" t="s">
        <v>20</v>
      </c>
      <c r="D372" s="77">
        <v>0</v>
      </c>
      <c r="E372" s="5" t="s"/>
      <c r="F372" s="5" t="s"/>
      <c r="G372" s="5" t="s"/>
      <c r="H372" s="25" t="s"/>
      <c r="I372" s="25" t="s"/>
      <c r="J372" s="83">
        <v>0</v>
      </c>
      <c r="K372" s="84">
        <v>0</v>
      </c>
      <c r="L372" s="20" t="b">
        <f>=OR(AND(D372=1,OR(J372=1,K372=1)),AND(D372=0,AND(J372=0,K372=0)))</f>
        <v>1</v>
      </c>
    </row>
    <row r="373" spans="1:12">
      <c r="A373" s="76" t="s"/>
      <c r="B373" s="22" t="s">
        <v>14</v>
      </c>
      <c r="C373" s="9" t="s">
        <v>22</v>
      </c>
      <c r="D373" s="77">
        <v>1</v>
      </c>
      <c r="E373" s="5" t="s"/>
      <c r="F373" s="5" t="s"/>
      <c r="G373" s="5" t="s"/>
      <c r="H373" s="25" t="s"/>
      <c r="I373" s="25" t="s"/>
      <c r="J373" s="83">
        <v>1</v>
      </c>
      <c r="K373" s="84">
        <v>0</v>
      </c>
      <c r="L373" s="20" t="b">
        <f>=OR(AND(D373=1,OR(J373=1,K373=1)),AND(D373=0,AND(J373=0,K373=0)))</f>
        <v>1</v>
      </c>
    </row>
    <row r="374" spans="1:12">
      <c r="A374" s="76" t="s"/>
      <c r="B374" s="22" t="s">
        <v>14</v>
      </c>
      <c r="C374" s="9" t="s">
        <v>24</v>
      </c>
      <c r="D374" s="77">
        <v>1</v>
      </c>
      <c r="E374" s="5" t="s"/>
      <c r="F374" s="5" t="s"/>
      <c r="G374" s="5" t="s"/>
      <c r="H374" s="25" t="s"/>
      <c r="I374" s="25" t="s"/>
      <c r="J374" s="83">
        <v>0</v>
      </c>
      <c r="K374" s="84">
        <v>1</v>
      </c>
      <c r="L374" s="20" t="b">
        <f>=OR(AND(D374=1,OR(J374=1,K374=1)),AND(D374=0,AND(J374=0,K374=0)))</f>
        <v>1</v>
      </c>
    </row>
    <row r="375" spans="1:12">
      <c r="A375" s="76" t="s"/>
      <c r="B375" s="22" t="s">
        <v>16</v>
      </c>
      <c r="C375" s="9" t="s">
        <v>12</v>
      </c>
      <c r="D375" s="77">
        <v>0</v>
      </c>
      <c r="E375" s="5" t="s"/>
      <c r="F375" s="5" t="s"/>
      <c r="G375" s="5" t="s"/>
      <c r="H375" s="25" t="s"/>
      <c r="I375" s="25" t="s"/>
      <c r="J375" s="83">
        <v>0</v>
      </c>
      <c r="K375" s="84">
        <v>0</v>
      </c>
      <c r="L375" s="20" t="b">
        <f>=OR(AND(D375=1,OR(J375=1,K375=1)),AND(D375=0,AND(J375=0,K375=0)))</f>
        <v>1</v>
      </c>
    </row>
    <row r="376" spans="1:12">
      <c r="A376" s="76" t="s"/>
      <c r="B376" s="22" t="s">
        <v>16</v>
      </c>
      <c r="C376" s="9" t="s">
        <v>14</v>
      </c>
      <c r="D376" s="77">
        <v>0</v>
      </c>
      <c r="E376" s="5" t="s"/>
      <c r="F376" s="5" t="s"/>
      <c r="G376" s="5" t="s"/>
      <c r="H376" s="25" t="s"/>
      <c r="I376" s="25" t="s"/>
      <c r="J376" s="83">
        <v>0</v>
      </c>
      <c r="K376" s="84">
        <v>0</v>
      </c>
      <c r="L376" s="20" t="b">
        <f>=OR(AND(D376=1,OR(J376=1,K376=1)),AND(D376=0,AND(J376=0,K376=0)))</f>
        <v>1</v>
      </c>
    </row>
    <row r="377" spans="1:12">
      <c r="A377" s="76" t="s"/>
      <c r="B377" s="22" t="s">
        <v>16</v>
      </c>
      <c r="C377" s="9" t="s">
        <v>16</v>
      </c>
      <c r="D377" s="77">
        <v>1</v>
      </c>
      <c r="E377" s="5" t="s"/>
      <c r="F377" s="5" t="s"/>
      <c r="G377" s="5" t="s"/>
      <c r="H377" s="25" t="s"/>
      <c r="I377" s="25" t="s"/>
      <c r="J377" s="83">
        <v>1</v>
      </c>
      <c r="K377" s="84">
        <v>0</v>
      </c>
      <c r="L377" s="20" t="b">
        <f>=OR(AND(D377=1,OR(J377=1,K377=1)),AND(D377=0,AND(J377=0,K377=0)))</f>
        <v>1</v>
      </c>
    </row>
    <row r="378" spans="1:12">
      <c r="A378" s="76" t="s"/>
      <c r="B378" s="22" t="s">
        <v>16</v>
      </c>
      <c r="C378" s="9" t="s">
        <v>18</v>
      </c>
      <c r="D378" s="77">
        <v>0</v>
      </c>
      <c r="E378" s="5" t="s"/>
      <c r="F378" s="5" t="s"/>
      <c r="G378" s="5" t="s"/>
      <c r="H378" s="25" t="s"/>
      <c r="I378" s="25" t="s"/>
      <c r="J378" s="83">
        <v>0</v>
      </c>
      <c r="K378" s="84">
        <v>0</v>
      </c>
      <c r="L378" s="20" t="b">
        <f>=OR(AND(D378=1,OR(J378=1,K378=1)),AND(D378=0,AND(J378=0,K378=0)))</f>
        <v>1</v>
      </c>
    </row>
    <row r="379" spans="1:12">
      <c r="A379" s="76" t="s"/>
      <c r="B379" s="22" t="s">
        <v>16</v>
      </c>
      <c r="C379" s="9" t="s">
        <v>20</v>
      </c>
      <c r="D379" s="77">
        <v>0</v>
      </c>
      <c r="E379" s="5" t="s"/>
      <c r="F379" s="5" t="s"/>
      <c r="G379" s="5" t="s"/>
      <c r="H379" s="25" t="s"/>
      <c r="I379" s="25" t="s"/>
      <c r="J379" s="83">
        <v>0</v>
      </c>
      <c r="K379" s="84">
        <v>0</v>
      </c>
      <c r="L379" s="20" t="b">
        <f>=OR(AND(D379=1,OR(J379=1,K379=1)),AND(D379=0,AND(J379=0,K379=0)))</f>
        <v>1</v>
      </c>
    </row>
    <row r="380" spans="1:12">
      <c r="A380" s="76" t="s"/>
      <c r="B380" s="22" t="s">
        <v>16</v>
      </c>
      <c r="C380" s="9" t="s">
        <v>22</v>
      </c>
      <c r="D380" s="77">
        <v>0</v>
      </c>
      <c r="E380" s="5" t="s"/>
      <c r="F380" s="5" t="s"/>
      <c r="G380" s="5" t="s"/>
      <c r="H380" s="25" t="s"/>
      <c r="I380" s="25" t="s"/>
      <c r="J380" s="83">
        <v>0</v>
      </c>
      <c r="K380" s="84">
        <v>0</v>
      </c>
      <c r="L380" s="20" t="b">
        <f>=OR(AND(D380=1,OR(J380=1,K380=1)),AND(D380=0,AND(J380=0,K380=0)))</f>
        <v>1</v>
      </c>
    </row>
    <row r="381" spans="1:12">
      <c r="A381" s="76" t="s"/>
      <c r="B381" s="22" t="s">
        <v>16</v>
      </c>
      <c r="C381" s="9" t="s">
        <v>24</v>
      </c>
      <c r="D381" s="77">
        <v>1</v>
      </c>
      <c r="E381" s="5" t="s"/>
      <c r="F381" s="5" t="s"/>
      <c r="G381" s="5" t="s"/>
      <c r="H381" s="25" t="s"/>
      <c r="I381" s="25" t="s"/>
      <c r="J381" s="83">
        <v>1</v>
      </c>
      <c r="K381" s="84">
        <v>0</v>
      </c>
      <c r="L381" s="20" t="b">
        <f>=OR(AND(D381=1,OR(J381=1,K381=1)),AND(D381=0,AND(J381=0,K381=0)))</f>
        <v>1</v>
      </c>
    </row>
    <row r="382" spans="1:12">
      <c r="A382" s="76" t="s"/>
      <c r="B382" s="22" t="s">
        <v>18</v>
      </c>
      <c r="C382" s="9" t="s">
        <v>12</v>
      </c>
      <c r="D382" s="77">
        <v>1</v>
      </c>
      <c r="E382" s="5" t="s"/>
      <c r="F382" s="5" t="s"/>
      <c r="G382" s="5" t="s"/>
      <c r="H382" s="25" t="s"/>
      <c r="I382" s="25" t="s"/>
      <c r="J382" s="83">
        <v>0</v>
      </c>
      <c r="K382" s="84">
        <v>1</v>
      </c>
      <c r="L382" s="20" t="b">
        <f>=OR(AND(D382=1,OR(J382=1,K382=1)),AND(D382=0,AND(J382=0,K382=0)))</f>
        <v>1</v>
      </c>
    </row>
    <row r="383" spans="1:12">
      <c r="A383" s="76" t="s"/>
      <c r="B383" s="22" t="s">
        <v>18</v>
      </c>
      <c r="C383" s="9" t="s">
        <v>14</v>
      </c>
      <c r="D383" s="77">
        <v>1</v>
      </c>
      <c r="E383" s="5" t="s"/>
      <c r="F383" s="5" t="s"/>
      <c r="G383" s="5" t="s"/>
      <c r="H383" s="25" t="s"/>
      <c r="I383" s="25" t="s"/>
      <c r="J383" s="83">
        <v>0</v>
      </c>
      <c r="K383" s="84">
        <v>1</v>
      </c>
      <c r="L383" s="20" t="b">
        <f>=OR(AND(D383=1,OR(J383=1,K383=1)),AND(D383=0,AND(J383=0,K383=0)))</f>
        <v>1</v>
      </c>
    </row>
    <row r="384" spans="1:12">
      <c r="A384" s="76" t="s"/>
      <c r="B384" s="22" t="s">
        <v>18</v>
      </c>
      <c r="C384" s="9" t="s">
        <v>16</v>
      </c>
      <c r="D384" s="77">
        <v>1</v>
      </c>
      <c r="E384" s="5" t="s"/>
      <c r="F384" s="5" t="s"/>
      <c r="G384" s="5" t="s"/>
      <c r="H384" s="25" t="s"/>
      <c r="I384" s="25" t="s"/>
      <c r="J384" s="83">
        <v>0</v>
      </c>
      <c r="K384" s="84">
        <v>1</v>
      </c>
      <c r="L384" s="20" t="b">
        <f>=OR(AND(D384=1,OR(J384=1,K384=1)),AND(D384=0,AND(J384=0,K384=0)))</f>
        <v>1</v>
      </c>
    </row>
    <row r="385" spans="1:12">
      <c r="A385" s="76" t="s"/>
      <c r="B385" s="22" t="s">
        <v>18</v>
      </c>
      <c r="C385" s="9" t="s">
        <v>18</v>
      </c>
      <c r="D385" s="77">
        <v>1</v>
      </c>
      <c r="E385" s="5" t="s"/>
      <c r="F385" s="5" t="s"/>
      <c r="G385" s="5" t="s"/>
      <c r="H385" s="25" t="s"/>
      <c r="I385" s="25" t="s"/>
      <c r="J385" s="83">
        <v>1</v>
      </c>
      <c r="K385" s="84">
        <v>0</v>
      </c>
      <c r="L385" s="20" t="b">
        <f>=OR(AND(D385=1,OR(J385=1,K385=1)),AND(D385=0,AND(J385=0,K385=0)))</f>
        <v>1</v>
      </c>
    </row>
    <row r="386" spans="1:12">
      <c r="A386" s="76" t="s"/>
      <c r="B386" s="22" t="s">
        <v>18</v>
      </c>
      <c r="C386" s="9" t="s">
        <v>20</v>
      </c>
      <c r="D386" s="77">
        <v>1</v>
      </c>
      <c r="E386" s="5" t="s"/>
      <c r="F386" s="5" t="s"/>
      <c r="G386" s="5" t="s"/>
      <c r="H386" s="25" t="s"/>
      <c r="I386" s="25" t="s"/>
      <c r="J386" s="83">
        <v>1</v>
      </c>
      <c r="K386" s="84">
        <v>0</v>
      </c>
      <c r="L386" s="20" t="b">
        <f>=OR(AND(D386=1,OR(J386=1,K386=1)),AND(D386=0,AND(J386=0,K386=0)))</f>
        <v>1</v>
      </c>
    </row>
    <row r="387" spans="1:12">
      <c r="A387" s="76" t="s"/>
      <c r="B387" s="22" t="s">
        <v>18</v>
      </c>
      <c r="C387" s="9" t="s">
        <v>22</v>
      </c>
      <c r="D387" s="77">
        <v>1</v>
      </c>
      <c r="E387" s="5" t="s"/>
      <c r="F387" s="5" t="s"/>
      <c r="G387" s="5" t="s"/>
      <c r="H387" s="25" t="s"/>
      <c r="I387" s="25" t="s"/>
      <c r="J387" s="83">
        <v>0</v>
      </c>
      <c r="K387" s="84">
        <v>1</v>
      </c>
      <c r="L387" s="20" t="b">
        <f>=OR(AND(D387=1,OR(J387=1,K387=1)),AND(D387=0,AND(J387=0,K387=0)))</f>
        <v>1</v>
      </c>
    </row>
    <row r="388" spans="1:12">
      <c r="A388" s="76" t="s"/>
      <c r="B388" s="22" t="s">
        <v>18</v>
      </c>
      <c r="C388" s="9" t="s">
        <v>24</v>
      </c>
      <c r="D388" s="77">
        <v>1</v>
      </c>
      <c r="E388" s="5" t="s"/>
      <c r="F388" s="5" t="s"/>
      <c r="G388" s="5" t="s"/>
      <c r="H388" s="25" t="s"/>
      <c r="I388" s="25" t="s"/>
      <c r="J388" s="83">
        <v>0</v>
      </c>
      <c r="K388" s="84">
        <v>1</v>
      </c>
      <c r="L388" s="20" t="b">
        <f>=OR(AND(D388=1,OR(J388=1,K388=1)),AND(D388=0,AND(J388=0,K388=0)))</f>
        <v>1</v>
      </c>
    </row>
    <row r="389" spans="1:12">
      <c r="A389" s="76" t="s"/>
      <c r="B389" s="22" t="s">
        <v>20</v>
      </c>
      <c r="C389" s="9" t="s">
        <v>12</v>
      </c>
      <c r="D389" s="77">
        <v>1</v>
      </c>
      <c r="E389" s="5" t="s"/>
      <c r="F389" s="5" t="s"/>
      <c r="G389" s="5" t="s"/>
      <c r="H389" s="25" t="s"/>
      <c r="I389" s="25" t="s"/>
      <c r="J389" s="83">
        <v>0</v>
      </c>
      <c r="K389" s="84">
        <v>1</v>
      </c>
      <c r="L389" s="20" t="b">
        <f>=OR(AND(D389=1,OR(J389=1,K389=1)),AND(D389=0,AND(J389=0,K389=0)))</f>
        <v>1</v>
      </c>
    </row>
    <row r="390" spans="1:12">
      <c r="A390" s="76" t="s"/>
      <c r="B390" s="22" t="s">
        <v>20</v>
      </c>
      <c r="C390" s="9" t="s">
        <v>14</v>
      </c>
      <c r="D390" s="77">
        <v>1</v>
      </c>
      <c r="E390" s="5" t="s"/>
      <c r="F390" s="5" t="s"/>
      <c r="G390" s="5" t="s"/>
      <c r="H390" s="25" t="s"/>
      <c r="I390" s="25" t="s"/>
      <c r="J390" s="83">
        <v>0</v>
      </c>
      <c r="K390" s="84">
        <v>1</v>
      </c>
      <c r="L390" s="20" t="b">
        <f>=OR(AND(D390=1,OR(J390=1,K390=1)),AND(D390=0,AND(J390=0,K390=0)))</f>
        <v>1</v>
      </c>
    </row>
    <row r="391" spans="1:12">
      <c r="A391" s="76" t="s"/>
      <c r="B391" s="22" t="s">
        <v>20</v>
      </c>
      <c r="C391" s="9" t="s">
        <v>16</v>
      </c>
      <c r="D391" s="77">
        <v>1</v>
      </c>
      <c r="E391" s="5" t="s"/>
      <c r="F391" s="5" t="s"/>
      <c r="G391" s="5" t="s"/>
      <c r="H391" s="25" t="s"/>
      <c r="I391" s="25" t="s"/>
      <c r="J391" s="83">
        <v>0</v>
      </c>
      <c r="K391" s="84">
        <v>1</v>
      </c>
      <c r="L391" s="20" t="b">
        <f>=OR(AND(D391=1,OR(J391=1,K391=1)),AND(D391=0,AND(J391=0,K391=0)))</f>
        <v>1</v>
      </c>
    </row>
    <row r="392" spans="1:12">
      <c r="A392" s="76" t="s"/>
      <c r="B392" s="22" t="s">
        <v>20</v>
      </c>
      <c r="C392" s="9" t="s">
        <v>18</v>
      </c>
      <c r="D392" s="77">
        <v>1</v>
      </c>
      <c r="E392" s="5" t="s"/>
      <c r="F392" s="5" t="s"/>
      <c r="G392" s="5" t="s"/>
      <c r="H392" s="25" t="s"/>
      <c r="I392" s="25" t="s"/>
      <c r="J392" s="83">
        <v>1</v>
      </c>
      <c r="K392" s="84">
        <v>0</v>
      </c>
      <c r="L392" s="20" t="b">
        <f>=OR(AND(D392=1,OR(J392=1,K392=1)),AND(D392=0,AND(J392=0,K392=0)))</f>
        <v>1</v>
      </c>
    </row>
    <row r="393" spans="1:12">
      <c r="A393" s="76" t="s"/>
      <c r="B393" s="22" t="s">
        <v>20</v>
      </c>
      <c r="C393" s="9" t="s">
        <v>20</v>
      </c>
      <c r="D393" s="77">
        <v>1</v>
      </c>
      <c r="E393" s="5" t="s"/>
      <c r="F393" s="5" t="s"/>
      <c r="G393" s="5" t="s"/>
      <c r="H393" s="25" t="s"/>
      <c r="I393" s="25" t="s"/>
      <c r="J393" s="83">
        <v>1</v>
      </c>
      <c r="K393" s="84">
        <v>0</v>
      </c>
      <c r="L393" s="20" t="b">
        <f>=OR(AND(D393=1,OR(J393=1,K393=1)),AND(D393=0,AND(J393=0,K393=0)))</f>
        <v>1</v>
      </c>
    </row>
    <row r="394" spans="1:12">
      <c r="A394" s="76" t="s"/>
      <c r="B394" s="22" t="s">
        <v>20</v>
      </c>
      <c r="C394" s="9" t="s">
        <v>22</v>
      </c>
      <c r="D394" s="77">
        <v>1</v>
      </c>
      <c r="E394" s="5" t="s"/>
      <c r="F394" s="5" t="s"/>
      <c r="G394" s="5" t="s"/>
      <c r="H394" s="25" t="s"/>
      <c r="I394" s="25" t="s"/>
      <c r="J394" s="83">
        <v>0</v>
      </c>
      <c r="K394" s="84">
        <v>1</v>
      </c>
      <c r="L394" s="20" t="b">
        <f>=OR(AND(D394=1,OR(J394=1,K394=1)),AND(D394=0,AND(J394=0,K394=0)))</f>
        <v>1</v>
      </c>
    </row>
    <row r="395" spans="1:12">
      <c r="A395" s="76" t="s"/>
      <c r="B395" s="22" t="s">
        <v>20</v>
      </c>
      <c r="C395" s="9" t="s">
        <v>24</v>
      </c>
      <c r="D395" s="77">
        <v>1</v>
      </c>
      <c r="E395" s="5" t="s"/>
      <c r="F395" s="5" t="s"/>
      <c r="G395" s="5" t="s"/>
      <c r="H395" s="25" t="s"/>
      <c r="I395" s="25" t="s"/>
      <c r="J395" s="83">
        <v>0</v>
      </c>
      <c r="K395" s="84">
        <v>1</v>
      </c>
      <c r="L395" s="20" t="b">
        <f>=OR(AND(D395=1,OR(J395=1,K395=1)),AND(D395=0,AND(J395=0,K395=0)))</f>
        <v>1</v>
      </c>
    </row>
    <row r="396" spans="1:12">
      <c r="A396" s="76" t="s"/>
      <c r="B396" s="22" t="s">
        <v>22</v>
      </c>
      <c r="C396" s="9" t="s">
        <v>12</v>
      </c>
      <c r="D396" s="77">
        <v>1</v>
      </c>
      <c r="E396" s="5" t="s"/>
      <c r="F396" s="5" t="s"/>
      <c r="G396" s="5" t="s"/>
      <c r="H396" s="25" t="s"/>
      <c r="I396" s="25" t="s"/>
      <c r="J396" s="83">
        <v>1</v>
      </c>
      <c r="K396" s="84">
        <v>0</v>
      </c>
      <c r="L396" s="20" t="b">
        <f>=OR(AND(D396=1,OR(J396=1,K396=1)),AND(D396=0,AND(J396=0,K396=0)))</f>
        <v>1</v>
      </c>
    </row>
    <row r="397" spans="1:12">
      <c r="A397" s="76" t="s"/>
      <c r="B397" s="22" t="s">
        <v>22</v>
      </c>
      <c r="C397" s="9" t="s">
        <v>14</v>
      </c>
      <c r="D397" s="77">
        <v>1</v>
      </c>
      <c r="E397" s="5" t="s"/>
      <c r="F397" s="5" t="s"/>
      <c r="G397" s="5" t="s"/>
      <c r="H397" s="25" t="s"/>
      <c r="I397" s="25" t="s"/>
      <c r="J397" s="83">
        <v>1</v>
      </c>
      <c r="K397" s="84">
        <v>0</v>
      </c>
      <c r="L397" s="20" t="b">
        <f>=OR(AND(D397=1,OR(J397=1,K397=1)),AND(D397=0,AND(J397=0,K397=0)))</f>
        <v>1</v>
      </c>
    </row>
    <row r="398" spans="1:12">
      <c r="A398" s="76" t="s"/>
      <c r="B398" s="22" t="s">
        <v>22</v>
      </c>
      <c r="C398" s="9" t="s">
        <v>16</v>
      </c>
      <c r="D398" s="77">
        <v>1</v>
      </c>
      <c r="E398" s="5" t="s"/>
      <c r="F398" s="5" t="s"/>
      <c r="G398" s="5" t="s"/>
      <c r="H398" s="25" t="s"/>
      <c r="I398" s="25" t="s"/>
      <c r="J398" s="83">
        <v>0</v>
      </c>
      <c r="K398" s="84">
        <v>1</v>
      </c>
      <c r="L398" s="20" t="b">
        <f>=OR(AND(D398=1,OR(J398=1,K398=1)),AND(D398=0,AND(J398=0,K398=0)))</f>
        <v>1</v>
      </c>
    </row>
    <row r="399" spans="1:12">
      <c r="A399" s="76" t="s"/>
      <c r="B399" s="22" t="s">
        <v>22</v>
      </c>
      <c r="C399" s="9" t="s">
        <v>18</v>
      </c>
      <c r="D399" s="77">
        <v>0</v>
      </c>
      <c r="E399" s="5" t="s"/>
      <c r="F399" s="5" t="s"/>
      <c r="G399" s="5" t="s"/>
      <c r="H399" s="25" t="s"/>
      <c r="I399" s="25" t="s"/>
      <c r="J399" s="83">
        <v>0</v>
      </c>
      <c r="K399" s="84">
        <v>0</v>
      </c>
      <c r="L399" s="20" t="b">
        <f>=OR(AND(D399=1,OR(J399=1,K399=1)),AND(D399=0,AND(J399=0,K399=0)))</f>
        <v>1</v>
      </c>
    </row>
    <row r="400" spans="1:12">
      <c r="A400" s="76" t="s"/>
      <c r="B400" s="22" t="s">
        <v>22</v>
      </c>
      <c r="C400" s="9" t="s">
        <v>20</v>
      </c>
      <c r="D400" s="77">
        <v>0</v>
      </c>
      <c r="E400" s="5" t="s"/>
      <c r="F400" s="5" t="s"/>
      <c r="G400" s="5" t="s"/>
      <c r="H400" s="25" t="s"/>
      <c r="I400" s="25" t="s"/>
      <c r="J400" s="83">
        <v>0</v>
      </c>
      <c r="K400" s="84">
        <v>0</v>
      </c>
      <c r="L400" s="20" t="b">
        <f>=OR(AND(D400=1,OR(J400=1,K400=1)),AND(D400=0,AND(J400=0,K400=0)))</f>
        <v>1</v>
      </c>
    </row>
    <row r="401" spans="1:12">
      <c r="A401" s="76" t="s"/>
      <c r="B401" s="22" t="s">
        <v>22</v>
      </c>
      <c r="C401" s="9" t="s">
        <v>22</v>
      </c>
      <c r="D401" s="77">
        <v>1</v>
      </c>
      <c r="E401" s="5" t="s"/>
      <c r="F401" s="5" t="s"/>
      <c r="G401" s="5" t="s"/>
      <c r="H401" s="25" t="s"/>
      <c r="I401" s="25" t="s"/>
      <c r="J401" s="83">
        <v>1</v>
      </c>
      <c r="K401" s="84">
        <v>0</v>
      </c>
      <c r="L401" s="20" t="b">
        <f>=OR(AND(D401=1,OR(J401=1,K401=1)),AND(D401=0,AND(J401=0,K401=0)))</f>
        <v>1</v>
      </c>
    </row>
    <row r="402" spans="1:12">
      <c r="A402" s="76" t="s"/>
      <c r="B402" s="22" t="s">
        <v>22</v>
      </c>
      <c r="C402" s="9" t="s">
        <v>24</v>
      </c>
      <c r="D402" s="77">
        <v>1</v>
      </c>
      <c r="E402" s="5" t="s"/>
      <c r="F402" s="5" t="s"/>
      <c r="G402" s="5" t="s"/>
      <c r="H402" s="25" t="s"/>
      <c r="I402" s="25" t="s"/>
      <c r="J402" s="83">
        <v>0</v>
      </c>
      <c r="K402" s="84">
        <v>1</v>
      </c>
      <c r="L402" s="20" t="b">
        <f>=OR(AND(D402=1,OR(J402=1,K402=1)),AND(D402=0,AND(J402=0,K402=0)))</f>
        <v>1</v>
      </c>
    </row>
    <row r="403" spans="1:12">
      <c r="A403" s="76" t="s"/>
      <c r="B403" s="22" t="s">
        <v>24</v>
      </c>
      <c r="C403" s="9" t="s">
        <v>12</v>
      </c>
      <c r="D403" s="77">
        <v>0</v>
      </c>
      <c r="E403" s="5" t="s"/>
      <c r="F403" s="5" t="s"/>
      <c r="G403" s="5" t="s"/>
      <c r="H403" s="25" t="s"/>
      <c r="I403" s="25" t="s"/>
      <c r="J403" s="83">
        <v>0</v>
      </c>
      <c r="K403" s="84">
        <v>0</v>
      </c>
      <c r="L403" s="20" t="b">
        <f>=OR(AND(D403=1,OR(J403=1,K403=1)),AND(D403=0,AND(J403=0,K403=0)))</f>
        <v>1</v>
      </c>
    </row>
    <row r="404" spans="1:12">
      <c r="A404" s="76" t="s"/>
      <c r="B404" s="22" t="s">
        <v>24</v>
      </c>
      <c r="C404" s="9" t="s">
        <v>14</v>
      </c>
      <c r="D404" s="77">
        <v>0</v>
      </c>
      <c r="E404" s="5" t="s"/>
      <c r="F404" s="5" t="s"/>
      <c r="G404" s="5" t="s"/>
      <c r="H404" s="25" t="s"/>
      <c r="I404" s="25" t="s"/>
      <c r="J404" s="83">
        <v>0</v>
      </c>
      <c r="K404" s="84">
        <v>0</v>
      </c>
      <c r="L404" s="20" t="b">
        <f>=OR(AND(D404=1,OR(J404=1,K404=1)),AND(D404=0,AND(J404=0,K404=0)))</f>
        <v>1</v>
      </c>
    </row>
    <row r="405" spans="1:12">
      <c r="A405" s="76" t="s"/>
      <c r="B405" s="22" t="s">
        <v>24</v>
      </c>
      <c r="C405" s="9" t="s">
        <v>16</v>
      </c>
      <c r="D405" s="77">
        <v>1</v>
      </c>
      <c r="E405" s="5" t="s"/>
      <c r="F405" s="5" t="s"/>
      <c r="G405" s="5" t="s"/>
      <c r="H405" s="25" t="s"/>
      <c r="I405" s="25" t="s"/>
      <c r="J405" s="83">
        <v>1</v>
      </c>
      <c r="K405" s="84">
        <v>0</v>
      </c>
      <c r="L405" s="20" t="b">
        <f>=OR(AND(D405=1,OR(J405=1,K405=1)),AND(D405=0,AND(J405=0,K405=0)))</f>
        <v>1</v>
      </c>
    </row>
    <row r="406" spans="1:12">
      <c r="A406" s="76" t="s"/>
      <c r="B406" s="22" t="s">
        <v>24</v>
      </c>
      <c r="C406" s="9" t="s">
        <v>18</v>
      </c>
      <c r="D406" s="77">
        <v>0</v>
      </c>
      <c r="E406" s="5" t="s"/>
      <c r="F406" s="5" t="s"/>
      <c r="G406" s="5" t="s"/>
      <c r="H406" s="25" t="s"/>
      <c r="I406" s="25" t="s"/>
      <c r="J406" s="83">
        <v>0</v>
      </c>
      <c r="K406" s="84">
        <v>0</v>
      </c>
      <c r="L406" s="20" t="b">
        <f>=OR(AND(D406=1,OR(J406=1,K406=1)),AND(D406=0,AND(J406=0,K406=0)))</f>
        <v>1</v>
      </c>
    </row>
    <row r="407" spans="1:12">
      <c r="A407" s="80" t="s"/>
      <c r="B407" s="22" t="s">
        <v>24</v>
      </c>
      <c r="C407" s="9" t="s">
        <v>20</v>
      </c>
      <c r="D407" s="77">
        <v>0</v>
      </c>
      <c r="E407" s="5" t="s"/>
      <c r="F407" s="5" t="s"/>
      <c r="G407" s="5" t="s"/>
      <c r="H407" s="25" t="s"/>
      <c r="I407" s="25" t="s"/>
      <c r="J407" s="81">
        <v>0</v>
      </c>
      <c r="K407" s="82">
        <v>0</v>
      </c>
      <c r="L407" s="20" t="b">
        <f>=OR(AND(D407=1,OR(J407=1,K407=1)),AND(D407=0,AND(J407=0,K407=0)))</f>
        <v>1</v>
      </c>
    </row>
    <row r="408" spans="1:12">
      <c r="A408" s="80" t="s"/>
      <c r="B408" s="22" t="s">
        <v>24</v>
      </c>
      <c r="C408" s="9" t="s">
        <v>22</v>
      </c>
      <c r="D408" s="77">
        <v>0</v>
      </c>
      <c r="E408" s="5" t="s"/>
      <c r="F408" s="5" t="s"/>
      <c r="G408" s="5" t="s"/>
      <c r="H408" s="25" t="s"/>
      <c r="I408" s="25" t="s"/>
      <c r="J408" s="81">
        <v>0</v>
      </c>
      <c r="K408" s="82">
        <v>0</v>
      </c>
      <c r="L408" s="20" t="b">
        <f>=OR(AND(D408=1,OR(J408=1,K408=1)),AND(D408=0,AND(J408=0,K408=0)))</f>
        <v>1</v>
      </c>
    </row>
    <row r="409" spans="1:12">
      <c r="A409" s="80" t="s"/>
      <c r="B409" s="22" t="s">
        <v>24</v>
      </c>
      <c r="C409" s="9" t="s">
        <v>24</v>
      </c>
      <c r="D409" s="85">
        <v>1</v>
      </c>
      <c r="E409" s="6" t="s"/>
      <c r="F409" s="6" t="s"/>
      <c r="G409" s="6" t="s"/>
      <c r="H409" s="34" t="s"/>
      <c r="I409" s="34" t="s"/>
      <c r="J409" s="88">
        <v>1</v>
      </c>
      <c r="K409" s="89">
        <v>0</v>
      </c>
      <c r="L409" s="20" t="b">
        <f>=OR(AND(D409=1,OR(J409=1,K409=1)),AND(D409=0,AND(J409=0,K409=0)))</f>
        <v>1</v>
      </c>
    </row>
    <row r="410" spans="1:11">
      <c r="A410" s="90" t="s">
        <v>40</v>
      </c>
      <c r="B410" s="91" t="s"/>
      <c r="C410" s="92" t="s"/>
      <c r="D410" s="93" t="s"/>
      <c r="E410" s="94" t="s"/>
      <c r="F410" s="94" t="s"/>
      <c r="G410" s="93" t="s"/>
      <c r="H410" s="95" t="s"/>
      <c r="I410" s="95" t="s"/>
      <c r="J410" s="96" t="s">
        <v>29</v>
      </c>
      <c r="K410" s="97" t="s">
        <v>30</v>
      </c>
    </row>
    <row r="411" spans="1:12">
      <c r="A411" s="76" t="s">
        <v>41</v>
      </c>
      <c r="B411" s="22" t="s">
        <v>12</v>
      </c>
      <c r="C411" s="57" t="s">
        <v>12</v>
      </c>
      <c r="D411" s="98" t="s"/>
      <c r="E411" s="51" t="s">
        <v>13</v>
      </c>
      <c r="F411" s="51" t="s"/>
      <c r="G411" s="51" t="s"/>
      <c r="H411" s="25" t="s">
        <v>13</v>
      </c>
      <c r="I411" s="25" t="s">
        <f>=IFERROR(_xlfn.XLOOKUP(H411,$N$2:$N$8,$M$2:$M$8,H411,0),H411)</f>
        <v>12</v>
      </c>
      <c r="J411" s="99">
        <v>1</v>
      </c>
      <c r="K411" s="100">
        <v>0</v>
      </c>
      <c r="L411" t="b">
        <f>=E411=H411</f>
        <v>1</v>
      </c>
    </row>
    <row r="412" spans="1:12">
      <c r="A412" s="80" t="s"/>
      <c r="B412" s="22" t="s">
        <v>12</v>
      </c>
      <c r="C412" s="9" t="s">
        <v>14</v>
      </c>
      <c r="D412" s="98" t="s"/>
      <c r="E412" s="51" t="s">
        <v>13</v>
      </c>
      <c r="F412" s="51" t="s"/>
      <c r="G412" s="51" t="s"/>
      <c r="H412" s="25" t="s">
        <v>13</v>
      </c>
      <c r="I412" s="25" t="s">
        <f>=IFERROR(_xlfn.XLOOKUP(H412,$N$2:$N$8,$M$2:$M$8,H412,0),H412)</f>
        <v>12</v>
      </c>
      <c r="J412" s="81">
        <v>1</v>
      </c>
      <c r="K412" s="82">
        <v>0</v>
      </c>
      <c r="L412" t="b">
        <f>=E412=H412</f>
        <v>1</v>
      </c>
    </row>
    <row r="413" spans="1:12">
      <c r="A413" s="80" t="s"/>
      <c r="B413" s="28" t="s">
        <v>12</v>
      </c>
      <c r="C413" s="9" t="s">
        <v>16</v>
      </c>
      <c r="D413" s="98" t="s"/>
      <c r="E413" s="51" t="s">
        <v>17</v>
      </c>
      <c r="F413" s="51" t="s"/>
      <c r="G413" s="51" t="s"/>
      <c r="H413" s="25" t="s">
        <v>17</v>
      </c>
      <c r="I413" s="25" t="s">
        <f>=IFERROR(_xlfn.XLOOKUP(H413,$N$2:$N$8,$M$2:$M$8,H413,0),H413)</f>
        <v>16</v>
      </c>
      <c r="J413" s="81">
        <v>0</v>
      </c>
      <c r="K413" s="82">
        <v>1</v>
      </c>
      <c r="L413" t="b">
        <f>=E413=H413</f>
        <v>1</v>
      </c>
    </row>
    <row r="414" spans="1:12">
      <c r="A414" s="80" t="s"/>
      <c r="B414" s="28" t="s">
        <v>12</v>
      </c>
      <c r="C414" s="9" t="s">
        <v>18</v>
      </c>
      <c r="D414" s="98" t="s"/>
      <c r="E414" s="51" t="s">
        <v>13</v>
      </c>
      <c r="F414" s="51" t="s"/>
      <c r="G414" s="51" t="s"/>
      <c r="H414" s="25" t="s">
        <v>13</v>
      </c>
      <c r="I414" s="25" t="s">
        <f>=IFERROR(_xlfn.XLOOKUP(H414,$N$2:$N$8,$M$2:$M$8,H414,0),H414)</f>
        <v>12</v>
      </c>
      <c r="J414" s="81">
        <v>0</v>
      </c>
      <c r="K414" s="82">
        <v>0</v>
      </c>
      <c r="L414" t="b">
        <f>=E414=H414</f>
        <v>1</v>
      </c>
    </row>
    <row r="415" spans="1:12">
      <c r="A415" s="76" t="s"/>
      <c r="B415" s="28" t="s">
        <v>12</v>
      </c>
      <c r="C415" s="9" t="s">
        <v>20</v>
      </c>
      <c r="D415" s="98" t="s"/>
      <c r="E415" s="51" t="s">
        <v>13</v>
      </c>
      <c r="F415" s="51" t="s"/>
      <c r="G415" s="51" t="s"/>
      <c r="H415" s="25" t="s">
        <v>13</v>
      </c>
      <c r="I415" s="25" t="s">
        <f>=IFERROR(_xlfn.XLOOKUP(H415,$N$2:$N$8,$M$2:$M$8,H415,0),H415)</f>
        <v>12</v>
      </c>
      <c r="J415" s="83">
        <v>0</v>
      </c>
      <c r="K415" s="84">
        <v>0</v>
      </c>
      <c r="L415" t="b">
        <f>=E415=H415</f>
        <v>1</v>
      </c>
    </row>
    <row r="416" spans="1:12">
      <c r="A416" s="76" t="s"/>
      <c r="B416" s="22" t="s">
        <v>12</v>
      </c>
      <c r="C416" s="9" t="s">
        <v>22</v>
      </c>
      <c r="D416" s="98" t="s"/>
      <c r="E416" s="51" t="s">
        <v>13</v>
      </c>
      <c r="F416" s="51" t="s"/>
      <c r="G416" s="51" t="s"/>
      <c r="H416" s="25" t="s">
        <v>13</v>
      </c>
      <c r="I416" s="25" t="s">
        <f>=IFERROR(_xlfn.XLOOKUP(H416,$N$2:$N$8,$M$2:$M$8,H416,0),H416)</f>
        <v>12</v>
      </c>
      <c r="J416" s="83">
        <v>1</v>
      </c>
      <c r="K416" s="84">
        <v>0</v>
      </c>
      <c r="L416" t="b">
        <f>=E416=H416</f>
        <v>1</v>
      </c>
    </row>
    <row r="417" spans="1:12">
      <c r="A417" s="76" t="s"/>
      <c r="B417" s="22" t="s">
        <v>12</v>
      </c>
      <c r="C417" s="9" t="s">
        <v>24</v>
      </c>
      <c r="D417" s="98" t="s"/>
      <c r="E417" s="51" t="s">
        <v>17</v>
      </c>
      <c r="F417" s="51" t="s"/>
      <c r="G417" s="51" t="s"/>
      <c r="H417" s="25" t="s">
        <v>17</v>
      </c>
      <c r="I417" s="25" t="s">
        <f>=IFERROR(_xlfn.XLOOKUP(H417,$N$2:$N$8,$M$2:$M$8,H417,0),H417)</f>
        <v>16</v>
      </c>
      <c r="J417" s="83">
        <v>0</v>
      </c>
      <c r="K417" s="84">
        <v>1</v>
      </c>
      <c r="L417" t="b">
        <f>=E417=H417</f>
        <v>1</v>
      </c>
    </row>
    <row r="418" spans="1:12">
      <c r="A418" s="76" t="s"/>
      <c r="B418" s="22" t="s">
        <v>14</v>
      </c>
      <c r="C418" s="9" t="s">
        <v>12</v>
      </c>
      <c r="D418" s="98" t="s"/>
      <c r="E418" s="51" t="s">
        <v>13</v>
      </c>
      <c r="F418" s="51" t="s"/>
      <c r="G418" s="51" t="s"/>
      <c r="H418" s="25" t="s">
        <v>13</v>
      </c>
      <c r="I418" s="25" t="s">
        <f>=IFERROR(_xlfn.XLOOKUP(H418,$N$2:$N$8,$M$2:$M$8,H418,0),H418)</f>
        <v>12</v>
      </c>
      <c r="J418" s="83">
        <v>1</v>
      </c>
      <c r="K418" s="84">
        <v>0</v>
      </c>
      <c r="L418" t="b">
        <f>=E418=H418</f>
        <v>1</v>
      </c>
    </row>
    <row r="419" spans="1:12">
      <c r="A419" s="76" t="s"/>
      <c r="B419" s="7" t="s">
        <v>14</v>
      </c>
      <c r="C419" s="9" t="s">
        <v>14</v>
      </c>
      <c r="D419" s="98" t="s"/>
      <c r="E419" s="51" t="s">
        <v>13</v>
      </c>
      <c r="F419" s="51" t="s"/>
      <c r="G419" s="51" t="s"/>
      <c r="H419" s="25" t="s">
        <v>13</v>
      </c>
      <c r="I419" s="25" t="s">
        <f>=IFERROR(_xlfn.XLOOKUP(H419,$N$2:$N$8,$M$2:$M$8,H419,0),H419)</f>
        <v>12</v>
      </c>
      <c r="J419" s="83">
        <v>1</v>
      </c>
      <c r="K419" s="84">
        <v>0</v>
      </c>
      <c r="L419" t="b">
        <f>=E419=H419</f>
        <v>1</v>
      </c>
    </row>
    <row r="420" spans="1:12">
      <c r="A420" s="76" t="s"/>
      <c r="B420" s="22" t="s">
        <v>14</v>
      </c>
      <c r="C420" s="9" t="s">
        <v>16</v>
      </c>
      <c r="D420" s="98" t="s"/>
      <c r="E420" s="51" t="s">
        <v>17</v>
      </c>
      <c r="F420" s="51" t="s"/>
      <c r="G420" s="51" t="s"/>
      <c r="H420" s="25" t="s">
        <v>17</v>
      </c>
      <c r="I420" s="25" t="s">
        <f>=IFERROR(_xlfn.XLOOKUP(H420,$N$2:$N$8,$M$2:$M$8,H420,0),H420)</f>
        <v>16</v>
      </c>
      <c r="J420" s="83">
        <v>0</v>
      </c>
      <c r="K420" s="84">
        <v>1</v>
      </c>
      <c r="L420" t="b">
        <f>=E420=H420</f>
        <v>1</v>
      </c>
    </row>
    <row r="421" spans="1:12">
      <c r="A421" s="76" t="s"/>
      <c r="B421" s="22" t="s">
        <v>14</v>
      </c>
      <c r="C421" s="9" t="s">
        <v>18</v>
      </c>
      <c r="D421" s="98" t="s"/>
      <c r="E421" s="51" t="s">
        <v>13</v>
      </c>
      <c r="F421" s="51" t="s"/>
      <c r="G421" s="51" t="s"/>
      <c r="H421" s="25" t="s">
        <v>13</v>
      </c>
      <c r="I421" s="25" t="s">
        <f>=IFERROR(_xlfn.XLOOKUP(H421,$N$2:$N$8,$M$2:$M$8,H421,0),H421)</f>
        <v>12</v>
      </c>
      <c r="J421" s="83">
        <v>0</v>
      </c>
      <c r="K421" s="84">
        <v>0</v>
      </c>
      <c r="L421" t="b">
        <f>=E421=H421</f>
        <v>1</v>
      </c>
    </row>
    <row r="422" spans="1:12">
      <c r="A422" s="76" t="s"/>
      <c r="B422" s="22" t="s">
        <v>14</v>
      </c>
      <c r="C422" s="9" t="s">
        <v>20</v>
      </c>
      <c r="D422" s="98" t="s"/>
      <c r="E422" s="51" t="s">
        <v>13</v>
      </c>
      <c r="F422" s="51" t="s"/>
      <c r="G422" s="51" t="s"/>
      <c r="H422" s="25" t="s">
        <v>13</v>
      </c>
      <c r="I422" s="25" t="s">
        <f>=IFERROR(_xlfn.XLOOKUP(H422,$N$2:$N$8,$M$2:$M$8,H422,0),H422)</f>
        <v>12</v>
      </c>
      <c r="J422" s="83">
        <v>0</v>
      </c>
      <c r="K422" s="84">
        <v>0</v>
      </c>
      <c r="L422" t="b">
        <f>=E422=H422</f>
        <v>1</v>
      </c>
    </row>
    <row r="423" spans="1:12">
      <c r="A423" s="76" t="s"/>
      <c r="B423" s="22" t="s">
        <v>14</v>
      </c>
      <c r="C423" s="9" t="s">
        <v>22</v>
      </c>
      <c r="D423" s="98" t="s"/>
      <c r="E423" s="51" t="s">
        <v>13</v>
      </c>
      <c r="F423" s="51" t="s"/>
      <c r="G423" s="51" t="s"/>
      <c r="H423" s="25" t="s">
        <v>13</v>
      </c>
      <c r="I423" s="25" t="s">
        <f>=IFERROR(_xlfn.XLOOKUP(H423,$N$2:$N$8,$M$2:$M$8,H423,0),H423)</f>
        <v>12</v>
      </c>
      <c r="J423" s="83">
        <v>1</v>
      </c>
      <c r="K423" s="84">
        <v>0</v>
      </c>
      <c r="L423" t="b">
        <f>=E423=H423</f>
        <v>1</v>
      </c>
    </row>
    <row r="424" spans="1:12">
      <c r="A424" s="76" t="s"/>
      <c r="B424" s="22" t="s">
        <v>14</v>
      </c>
      <c r="C424" s="9" t="s">
        <v>24</v>
      </c>
      <c r="D424" s="98" t="s"/>
      <c r="E424" s="51" t="s">
        <v>17</v>
      </c>
      <c r="F424" s="51" t="s"/>
      <c r="G424" s="51" t="s"/>
      <c r="H424" s="25" t="s">
        <v>17</v>
      </c>
      <c r="I424" s="25" t="s">
        <f>=IFERROR(_xlfn.XLOOKUP(H424,$N$2:$N$8,$M$2:$M$8,H424,0),H424)</f>
        <v>16</v>
      </c>
      <c r="J424" s="83">
        <v>0</v>
      </c>
      <c r="K424" s="84">
        <v>1</v>
      </c>
      <c r="L424" t="b">
        <f>=E424=H424</f>
        <v>1</v>
      </c>
    </row>
    <row r="425" spans="1:12">
      <c r="A425" s="76" t="s"/>
      <c r="B425" s="22" t="s">
        <v>16</v>
      </c>
      <c r="C425" s="9" t="s">
        <v>12</v>
      </c>
      <c r="D425" s="98" t="s"/>
      <c r="E425" s="51" t="s">
        <v>17</v>
      </c>
      <c r="F425" s="51" t="s"/>
      <c r="G425" s="51" t="s"/>
      <c r="H425" s="25" t="s">
        <v>17</v>
      </c>
      <c r="I425" s="25" t="s">
        <f>=IFERROR(_xlfn.XLOOKUP(H425,$N$2:$N$8,$M$2:$M$8,H425,0),H425)</f>
        <v>16</v>
      </c>
      <c r="J425" s="83">
        <v>0</v>
      </c>
      <c r="K425" s="84">
        <v>0</v>
      </c>
      <c r="L425" t="b">
        <f>=E425=H425</f>
        <v>1</v>
      </c>
    </row>
    <row r="426" spans="1:12">
      <c r="A426" s="76" t="s"/>
      <c r="B426" s="22" t="s">
        <v>16</v>
      </c>
      <c r="C426" s="9" t="s">
        <v>14</v>
      </c>
      <c r="D426" s="98" t="s"/>
      <c r="E426" s="51" t="s">
        <v>17</v>
      </c>
      <c r="F426" s="51" t="s"/>
      <c r="G426" s="51" t="s"/>
      <c r="H426" s="25" t="s">
        <v>17</v>
      </c>
      <c r="I426" s="25" t="s">
        <f>=IFERROR(_xlfn.XLOOKUP(H426,$N$2:$N$8,$M$2:$M$8,H426,0),H426)</f>
        <v>16</v>
      </c>
      <c r="J426" s="83">
        <v>0</v>
      </c>
      <c r="K426" s="84">
        <v>0</v>
      </c>
      <c r="L426" t="b">
        <f>=E426=H426</f>
        <v>1</v>
      </c>
    </row>
    <row r="427" spans="1:12">
      <c r="A427" s="76" t="s"/>
      <c r="B427" s="22" t="s">
        <v>16</v>
      </c>
      <c r="C427" s="9" t="s">
        <v>16</v>
      </c>
      <c r="D427" s="98" t="s"/>
      <c r="E427" s="51" t="s">
        <v>17</v>
      </c>
      <c r="F427" s="51" t="s"/>
      <c r="G427" s="51" t="s"/>
      <c r="H427" s="25" t="s">
        <v>17</v>
      </c>
      <c r="I427" s="25" t="s">
        <f>=IFERROR(_xlfn.XLOOKUP(H427,$N$2:$N$8,$M$2:$M$8,H427,0),H427)</f>
        <v>16</v>
      </c>
      <c r="J427" s="83">
        <v>1</v>
      </c>
      <c r="K427" s="84">
        <v>0</v>
      </c>
      <c r="L427" t="b">
        <f>=E427=H427</f>
        <v>1</v>
      </c>
    </row>
    <row r="428" spans="1:12">
      <c r="A428" s="76" t="s"/>
      <c r="B428" s="22" t="s">
        <v>16</v>
      </c>
      <c r="C428" s="9" t="s">
        <v>18</v>
      </c>
      <c r="D428" s="98" t="s"/>
      <c r="E428" s="51" t="s">
        <v>17</v>
      </c>
      <c r="F428" s="51" t="s"/>
      <c r="G428" s="51" t="s"/>
      <c r="H428" s="25" t="s">
        <v>17</v>
      </c>
      <c r="I428" s="25" t="s">
        <f>=IFERROR(_xlfn.XLOOKUP(H428,$N$2:$N$8,$M$2:$M$8,H428,0),H428)</f>
        <v>16</v>
      </c>
      <c r="J428" s="83">
        <v>0</v>
      </c>
      <c r="K428" s="84">
        <v>0</v>
      </c>
      <c r="L428" t="b">
        <f>=E428=H428</f>
        <v>1</v>
      </c>
    </row>
    <row r="429" spans="1:12">
      <c r="A429" s="76" t="s"/>
      <c r="B429" s="22" t="s">
        <v>16</v>
      </c>
      <c r="C429" s="9" t="s">
        <v>20</v>
      </c>
      <c r="D429" s="98" t="s"/>
      <c r="E429" s="51" t="s">
        <v>17</v>
      </c>
      <c r="F429" s="51" t="s"/>
      <c r="G429" s="51" t="s"/>
      <c r="H429" s="25" t="s">
        <v>17</v>
      </c>
      <c r="I429" s="25" t="s">
        <f>=IFERROR(_xlfn.XLOOKUP(H429,$N$2:$N$8,$M$2:$M$8,H429,0),H429)</f>
        <v>16</v>
      </c>
      <c r="J429" s="83">
        <v>0</v>
      </c>
      <c r="K429" s="84">
        <v>0</v>
      </c>
      <c r="L429" t="b">
        <f>=E429=H429</f>
        <v>1</v>
      </c>
    </row>
    <row r="430" spans="1:12">
      <c r="A430" s="76" t="s"/>
      <c r="B430" s="22" t="s">
        <v>16</v>
      </c>
      <c r="C430" s="9" t="s">
        <v>22</v>
      </c>
      <c r="D430" s="98" t="s"/>
      <c r="E430" s="51" t="s">
        <v>17</v>
      </c>
      <c r="F430" s="51" t="s"/>
      <c r="G430" s="51" t="s"/>
      <c r="H430" s="25" t="s">
        <v>17</v>
      </c>
      <c r="I430" s="25" t="s">
        <f>=IFERROR(_xlfn.XLOOKUP(H430,$N$2:$N$8,$M$2:$M$8,H430,0),H430)</f>
        <v>16</v>
      </c>
      <c r="J430" s="83">
        <v>0</v>
      </c>
      <c r="K430" s="84">
        <v>0</v>
      </c>
      <c r="L430" t="b">
        <f>=E430=H430</f>
        <v>1</v>
      </c>
    </row>
    <row r="431" spans="1:12">
      <c r="A431" s="76" t="s"/>
      <c r="B431" s="22" t="s">
        <v>16</v>
      </c>
      <c r="C431" s="9" t="s">
        <v>24</v>
      </c>
      <c r="D431" s="98" t="s"/>
      <c r="E431" s="51" t="s">
        <v>17</v>
      </c>
      <c r="F431" s="51" t="s"/>
      <c r="G431" s="51" t="s"/>
      <c r="H431" s="25" t="s">
        <v>17</v>
      </c>
      <c r="I431" s="25" t="s">
        <f>=IFERROR(_xlfn.XLOOKUP(H431,$N$2:$N$8,$M$2:$M$8,H431,0),H431)</f>
        <v>16</v>
      </c>
      <c r="J431" s="83">
        <v>1</v>
      </c>
      <c r="K431" s="84">
        <v>0</v>
      </c>
      <c r="L431" t="b">
        <f>=E431=H431</f>
        <v>1</v>
      </c>
    </row>
    <row r="432" spans="1:12">
      <c r="A432" s="76" t="s"/>
      <c r="B432" s="22" t="s">
        <v>18</v>
      </c>
      <c r="C432" s="9" t="s">
        <v>12</v>
      </c>
      <c r="D432" s="98" t="s"/>
      <c r="E432" s="51" t="s">
        <v>13</v>
      </c>
      <c r="F432" s="51" t="s"/>
      <c r="G432" s="51" t="s"/>
      <c r="H432" s="25" t="s">
        <v>13</v>
      </c>
      <c r="I432" s="25" t="s">
        <f>=IFERROR(_xlfn.XLOOKUP(H432,$N$2:$N$8,$M$2:$M$8,H432,0),H432)</f>
        <v>12</v>
      </c>
      <c r="J432" s="83">
        <v>0</v>
      </c>
      <c r="K432" s="84">
        <v>1</v>
      </c>
      <c r="L432" t="b">
        <f>=E432=H432</f>
        <v>1</v>
      </c>
    </row>
    <row r="433" spans="1:12">
      <c r="A433" s="76" t="s"/>
      <c r="B433" s="22" t="s">
        <v>18</v>
      </c>
      <c r="C433" s="9" t="s">
        <v>14</v>
      </c>
      <c r="D433" s="98" t="s"/>
      <c r="E433" s="51" t="s">
        <v>13</v>
      </c>
      <c r="F433" s="51" t="s"/>
      <c r="G433" s="51" t="s"/>
      <c r="H433" s="25" t="s">
        <v>13</v>
      </c>
      <c r="I433" s="25" t="s">
        <f>=IFERROR(_xlfn.XLOOKUP(H433,$N$2:$N$8,$M$2:$M$8,H433,0),H433)</f>
        <v>12</v>
      </c>
      <c r="J433" s="83">
        <v>0</v>
      </c>
      <c r="K433" s="84">
        <v>1</v>
      </c>
      <c r="L433" t="b">
        <f>=E433=H433</f>
        <v>1</v>
      </c>
    </row>
    <row r="434" spans="1:12">
      <c r="A434" s="76" t="s"/>
      <c r="B434" s="22" t="s">
        <v>18</v>
      </c>
      <c r="C434" s="9" t="s">
        <v>16</v>
      </c>
      <c r="D434" s="98" t="s"/>
      <c r="E434" s="51" t="s">
        <v>17</v>
      </c>
      <c r="F434" s="51" t="s"/>
      <c r="G434" s="51" t="s"/>
      <c r="H434" s="25" t="s">
        <v>17</v>
      </c>
      <c r="I434" s="25" t="s">
        <f>=IFERROR(_xlfn.XLOOKUP(H434,$N$2:$N$8,$M$2:$M$8,H434,0),H434)</f>
        <v>16</v>
      </c>
      <c r="J434" s="83">
        <v>0</v>
      </c>
      <c r="K434" s="84">
        <v>1</v>
      </c>
      <c r="L434" t="b">
        <f>=E434=H434</f>
        <v>1</v>
      </c>
    </row>
    <row r="435" spans="1:12">
      <c r="A435" s="76" t="s"/>
      <c r="B435" s="22" t="s">
        <v>18</v>
      </c>
      <c r="C435" s="9" t="s">
        <v>18</v>
      </c>
      <c r="D435" s="98" t="s"/>
      <c r="E435" s="51" t="s">
        <v>19</v>
      </c>
      <c r="F435" s="51" t="s"/>
      <c r="G435" s="51" t="s"/>
      <c r="H435" s="25" t="s">
        <v>19</v>
      </c>
      <c r="I435" s="25" t="s">
        <f>=IFERROR(_xlfn.XLOOKUP(H435,$N$2:$N$8,$M$2:$M$8,H435,0),H435)</f>
        <v>18</v>
      </c>
      <c r="J435" s="83">
        <v>1</v>
      </c>
      <c r="K435" s="84">
        <v>0</v>
      </c>
      <c r="L435" t="b">
        <f>=E435=H435</f>
        <v>1</v>
      </c>
    </row>
    <row r="436" spans="1:12">
      <c r="A436" s="76" t="s"/>
      <c r="B436" s="22" t="s">
        <v>18</v>
      </c>
      <c r="C436" s="9" t="s">
        <v>20</v>
      </c>
      <c r="D436" s="98" t="s"/>
      <c r="E436" s="51" t="s">
        <v>19</v>
      </c>
      <c r="F436" s="51" t="s"/>
      <c r="G436" s="51" t="s"/>
      <c r="H436" s="25" t="s">
        <v>19</v>
      </c>
      <c r="I436" s="25" t="s">
        <f>=IFERROR(_xlfn.XLOOKUP(H436,$N$2:$N$8,$M$2:$M$8,H436,0),H436)</f>
        <v>18</v>
      </c>
      <c r="J436" s="83">
        <v>1</v>
      </c>
      <c r="K436" s="84">
        <v>0</v>
      </c>
      <c r="L436" t="b">
        <f>=E436=H436</f>
        <v>1</v>
      </c>
    </row>
    <row r="437" spans="1:12">
      <c r="A437" s="76" t="s"/>
      <c r="B437" s="22" t="s">
        <v>18</v>
      </c>
      <c r="C437" s="9" t="s">
        <v>22</v>
      </c>
      <c r="D437" s="98" t="s"/>
      <c r="E437" s="51" t="s">
        <v>13</v>
      </c>
      <c r="F437" s="51" t="s"/>
      <c r="G437" s="51" t="s"/>
      <c r="H437" s="25" t="s">
        <v>13</v>
      </c>
      <c r="I437" s="25" t="s">
        <f>=IFERROR(_xlfn.XLOOKUP(H437,$N$2:$N$8,$M$2:$M$8,H437,0),H437)</f>
        <v>12</v>
      </c>
      <c r="J437" s="83">
        <v>0</v>
      </c>
      <c r="K437" s="84">
        <v>1</v>
      </c>
      <c r="L437" t="b">
        <f>=E437=H437</f>
        <v>1</v>
      </c>
    </row>
    <row r="438" spans="1:12">
      <c r="A438" s="76" t="s"/>
      <c r="B438" s="22" t="s">
        <v>18</v>
      </c>
      <c r="C438" s="9" t="s">
        <v>24</v>
      </c>
      <c r="D438" s="98" t="s"/>
      <c r="E438" s="51" t="s">
        <v>17</v>
      </c>
      <c r="F438" s="51" t="s"/>
      <c r="G438" s="51" t="s"/>
      <c r="H438" s="25" t="s">
        <v>17</v>
      </c>
      <c r="I438" s="25" t="s">
        <f>=IFERROR(_xlfn.XLOOKUP(H438,$N$2:$N$8,$M$2:$M$8,H438,0),H438)</f>
        <v>16</v>
      </c>
      <c r="J438" s="83">
        <v>0</v>
      </c>
      <c r="K438" s="84">
        <v>1</v>
      </c>
      <c r="L438" t="b">
        <f>=E438=H438</f>
        <v>1</v>
      </c>
    </row>
    <row r="439" spans="1:12">
      <c r="A439" s="76" t="s"/>
      <c r="B439" s="22" t="s">
        <v>20</v>
      </c>
      <c r="C439" s="9" t="s">
        <v>12</v>
      </c>
      <c r="D439" s="98" t="s"/>
      <c r="E439" s="51" t="s">
        <v>13</v>
      </c>
      <c r="F439" s="51" t="s"/>
      <c r="G439" s="51" t="s"/>
      <c r="H439" s="25" t="s">
        <v>13</v>
      </c>
      <c r="I439" s="25" t="s">
        <f>=IFERROR(_xlfn.XLOOKUP(H439,$N$2:$N$8,$M$2:$M$8,H439,0),H439)</f>
        <v>12</v>
      </c>
      <c r="J439" s="83">
        <v>0</v>
      </c>
      <c r="K439" s="84">
        <v>1</v>
      </c>
      <c r="L439" t="b">
        <f>=E439=H439</f>
        <v>1</v>
      </c>
    </row>
    <row r="440" spans="1:12">
      <c r="A440" s="76" t="s"/>
      <c r="B440" s="22" t="s">
        <v>20</v>
      </c>
      <c r="C440" s="9" t="s">
        <v>14</v>
      </c>
      <c r="D440" s="98" t="s"/>
      <c r="E440" s="51" t="s">
        <v>13</v>
      </c>
      <c r="F440" s="51" t="s"/>
      <c r="G440" s="51" t="s"/>
      <c r="H440" s="25" t="s">
        <v>13</v>
      </c>
      <c r="I440" s="25" t="s">
        <f>=IFERROR(_xlfn.XLOOKUP(H440,$N$2:$N$8,$M$2:$M$8,H440,0),H440)</f>
        <v>12</v>
      </c>
      <c r="J440" s="83">
        <v>0</v>
      </c>
      <c r="K440" s="84">
        <v>1</v>
      </c>
      <c r="L440" t="b">
        <f>=E440=H440</f>
        <v>1</v>
      </c>
    </row>
    <row r="441" spans="1:12">
      <c r="A441" s="76" t="s"/>
      <c r="B441" s="22" t="s">
        <v>20</v>
      </c>
      <c r="C441" s="9" t="s">
        <v>16</v>
      </c>
      <c r="D441" s="98" t="s"/>
      <c r="E441" s="51" t="s">
        <v>17</v>
      </c>
      <c r="F441" s="51" t="s"/>
      <c r="G441" s="51" t="s"/>
      <c r="H441" s="25" t="s">
        <v>17</v>
      </c>
      <c r="I441" s="25" t="s">
        <f>=IFERROR(_xlfn.XLOOKUP(H441,$N$2:$N$8,$M$2:$M$8,H441,0),H441)</f>
        <v>16</v>
      </c>
      <c r="J441" s="83">
        <v>0</v>
      </c>
      <c r="K441" s="84">
        <v>1</v>
      </c>
      <c r="L441" t="b">
        <f>=E441=H441</f>
        <v>1</v>
      </c>
    </row>
    <row r="442" spans="1:12">
      <c r="A442" s="76" t="s"/>
      <c r="B442" s="22" t="s">
        <v>20</v>
      </c>
      <c r="C442" s="9" t="s">
        <v>18</v>
      </c>
      <c r="D442" s="98" t="s"/>
      <c r="E442" s="51" t="s">
        <v>19</v>
      </c>
      <c r="F442" s="51" t="s"/>
      <c r="G442" s="51" t="s"/>
      <c r="H442" s="25" t="s">
        <v>19</v>
      </c>
      <c r="I442" s="25" t="s">
        <f>=IFERROR(_xlfn.XLOOKUP(H442,$N$2:$N$8,$M$2:$M$8,H442,0),H442)</f>
        <v>18</v>
      </c>
      <c r="J442" s="83">
        <v>1</v>
      </c>
      <c r="K442" s="84">
        <v>0</v>
      </c>
      <c r="L442" t="b">
        <f>=E442=H442</f>
        <v>1</v>
      </c>
    </row>
    <row r="443" spans="1:12">
      <c r="A443" s="76" t="s"/>
      <c r="B443" s="22" t="s">
        <v>20</v>
      </c>
      <c r="C443" s="9" t="s">
        <v>20</v>
      </c>
      <c r="D443" s="98" t="s"/>
      <c r="E443" s="51" t="s">
        <v>19</v>
      </c>
      <c r="F443" s="51" t="s"/>
      <c r="G443" s="51" t="s"/>
      <c r="H443" s="25" t="s">
        <v>19</v>
      </c>
      <c r="I443" s="25" t="s">
        <f>=IFERROR(_xlfn.XLOOKUP(H443,$N$2:$N$8,$M$2:$M$8,H443,0),H443)</f>
        <v>18</v>
      </c>
      <c r="J443" s="83">
        <v>1</v>
      </c>
      <c r="K443" s="84">
        <v>0</v>
      </c>
      <c r="L443" t="b">
        <f>=E443=H443</f>
        <v>1</v>
      </c>
    </row>
    <row r="444" spans="1:12">
      <c r="A444" s="76" t="s"/>
      <c r="B444" s="22" t="s">
        <v>20</v>
      </c>
      <c r="C444" s="9" t="s">
        <v>22</v>
      </c>
      <c r="D444" s="98" t="s"/>
      <c r="E444" s="51" t="s">
        <v>13</v>
      </c>
      <c r="F444" s="51" t="s"/>
      <c r="G444" s="51" t="s"/>
      <c r="H444" s="25" t="s">
        <v>13</v>
      </c>
      <c r="I444" s="25" t="s">
        <f>=IFERROR(_xlfn.XLOOKUP(H444,$N$2:$N$8,$M$2:$M$8,H444,0),H444)</f>
        <v>12</v>
      </c>
      <c r="J444" s="83">
        <v>0</v>
      </c>
      <c r="K444" s="84">
        <v>1</v>
      </c>
      <c r="L444" t="b">
        <f>=E444=H444</f>
        <v>1</v>
      </c>
    </row>
    <row r="445" spans="1:12">
      <c r="A445" s="76" t="s"/>
      <c r="B445" s="22" t="s">
        <v>20</v>
      </c>
      <c r="C445" s="9" t="s">
        <v>24</v>
      </c>
      <c r="D445" s="98" t="s"/>
      <c r="E445" s="51" t="s">
        <v>17</v>
      </c>
      <c r="F445" s="51" t="s"/>
      <c r="G445" s="51" t="s"/>
      <c r="H445" s="25" t="s">
        <v>17</v>
      </c>
      <c r="I445" s="25" t="s">
        <f>=IFERROR(_xlfn.XLOOKUP(H445,$N$2:$N$8,$M$2:$M$8,H445,0),H445)</f>
        <v>16</v>
      </c>
      <c r="J445" s="83">
        <v>0</v>
      </c>
      <c r="K445" s="84">
        <v>1</v>
      </c>
      <c r="L445" t="b">
        <f>=E445=H445</f>
        <v>1</v>
      </c>
    </row>
    <row r="446" spans="1:12">
      <c r="A446" s="76" t="s"/>
      <c r="B446" s="22" t="s">
        <v>22</v>
      </c>
      <c r="C446" s="9" t="s">
        <v>12</v>
      </c>
      <c r="D446" s="98" t="s"/>
      <c r="E446" s="51" t="s">
        <v>13</v>
      </c>
      <c r="F446" s="51" t="s"/>
      <c r="G446" s="51" t="s"/>
      <c r="H446" s="25" t="s">
        <v>13</v>
      </c>
      <c r="I446" s="25" t="s">
        <f>=IFERROR(_xlfn.XLOOKUP(H446,$N$2:$N$8,$M$2:$M$8,H446,0),H446)</f>
        <v>12</v>
      </c>
      <c r="J446" s="83">
        <v>1</v>
      </c>
      <c r="K446" s="84">
        <v>0</v>
      </c>
      <c r="L446" t="b">
        <f>=E446=H446</f>
        <v>1</v>
      </c>
    </row>
    <row r="447" spans="1:12">
      <c r="A447" s="76" t="s"/>
      <c r="B447" s="22" t="s">
        <v>22</v>
      </c>
      <c r="C447" s="9" t="s">
        <v>14</v>
      </c>
      <c r="D447" s="98" t="s"/>
      <c r="E447" s="51" t="s">
        <v>13</v>
      </c>
      <c r="F447" s="51" t="s"/>
      <c r="G447" s="51" t="s"/>
      <c r="H447" s="25" t="s">
        <v>13</v>
      </c>
      <c r="I447" s="25" t="s">
        <f>=IFERROR(_xlfn.XLOOKUP(H447,$N$2:$N$8,$M$2:$M$8,H447,0),H447)</f>
        <v>12</v>
      </c>
      <c r="J447" s="83">
        <v>1</v>
      </c>
      <c r="K447" s="84">
        <v>0</v>
      </c>
      <c r="L447" t="b">
        <f>=E447=H447</f>
        <v>1</v>
      </c>
    </row>
    <row r="448" spans="1:12">
      <c r="A448" s="76" t="s"/>
      <c r="B448" s="22" t="s">
        <v>22</v>
      </c>
      <c r="C448" s="9" t="s">
        <v>16</v>
      </c>
      <c r="D448" s="98" t="s"/>
      <c r="E448" s="51" t="s">
        <v>17</v>
      </c>
      <c r="F448" s="51" t="s"/>
      <c r="G448" s="51" t="s"/>
      <c r="H448" s="25" t="s">
        <v>17</v>
      </c>
      <c r="I448" s="25" t="s">
        <f>=IFERROR(_xlfn.XLOOKUP(H448,$N$2:$N$8,$M$2:$M$8,H448,0),H448)</f>
        <v>16</v>
      </c>
      <c r="J448" s="83">
        <v>0</v>
      </c>
      <c r="K448" s="84">
        <v>1</v>
      </c>
      <c r="L448" t="b">
        <f>=E448=H448</f>
        <v>1</v>
      </c>
    </row>
    <row r="449" spans="1:12">
      <c r="A449" s="76" t="s"/>
      <c r="B449" s="22" t="s">
        <v>22</v>
      </c>
      <c r="C449" s="9" t="s">
        <v>18</v>
      </c>
      <c r="D449" s="98" t="s"/>
      <c r="E449" s="51" t="s">
        <v>13</v>
      </c>
      <c r="F449" s="51" t="s"/>
      <c r="G449" s="51" t="s"/>
      <c r="H449" s="25" t="s">
        <v>13</v>
      </c>
      <c r="I449" s="25" t="s">
        <f>=IFERROR(_xlfn.XLOOKUP(H449,$N$2:$N$8,$M$2:$M$8,H449,0),H449)</f>
        <v>12</v>
      </c>
      <c r="J449" s="83">
        <v>0</v>
      </c>
      <c r="K449" s="84">
        <v>0</v>
      </c>
      <c r="L449" t="b">
        <f>=E449=H449</f>
        <v>1</v>
      </c>
    </row>
    <row r="450" spans="1:12">
      <c r="A450" s="76" t="s"/>
      <c r="B450" s="22" t="s">
        <v>22</v>
      </c>
      <c r="C450" s="9" t="s">
        <v>20</v>
      </c>
      <c r="D450" s="98" t="s"/>
      <c r="E450" s="51" t="s">
        <v>13</v>
      </c>
      <c r="F450" s="51" t="s"/>
      <c r="G450" s="51" t="s"/>
      <c r="H450" s="25" t="s">
        <v>13</v>
      </c>
      <c r="I450" s="25" t="s">
        <f>=IFERROR(_xlfn.XLOOKUP(H450,$N$2:$N$8,$M$2:$M$8,H450,0),H450)</f>
        <v>12</v>
      </c>
      <c r="J450" s="83">
        <v>0</v>
      </c>
      <c r="K450" s="84">
        <v>0</v>
      </c>
      <c r="L450" t="b">
        <f>=E450=H450</f>
        <v>1</v>
      </c>
    </row>
    <row r="451" spans="1:12">
      <c r="A451" s="76" t="s"/>
      <c r="B451" s="22" t="s">
        <v>22</v>
      </c>
      <c r="C451" s="9" t="s">
        <v>22</v>
      </c>
      <c r="D451" s="98" t="s"/>
      <c r="E451" s="51" t="s">
        <v>13</v>
      </c>
      <c r="F451" s="51" t="s"/>
      <c r="G451" s="51" t="s"/>
      <c r="H451" s="25" t="s">
        <v>13</v>
      </c>
      <c r="I451" s="25" t="s">
        <f>=IFERROR(_xlfn.XLOOKUP(H451,$N$2:$N$8,$M$2:$M$8,H451,0),H451)</f>
        <v>12</v>
      </c>
      <c r="J451" s="83">
        <v>1</v>
      </c>
      <c r="K451" s="84">
        <v>0</v>
      </c>
      <c r="L451" t="b">
        <f>=E451=H451</f>
        <v>1</v>
      </c>
    </row>
    <row r="452" spans="1:12">
      <c r="A452" s="76" t="s"/>
      <c r="B452" s="22" t="s">
        <v>22</v>
      </c>
      <c r="C452" s="9" t="s">
        <v>24</v>
      </c>
      <c r="D452" s="98" t="s"/>
      <c r="E452" s="51" t="s">
        <v>17</v>
      </c>
      <c r="F452" s="51" t="s"/>
      <c r="G452" s="51" t="s"/>
      <c r="H452" s="25" t="s">
        <v>17</v>
      </c>
      <c r="I452" s="25" t="s">
        <f>=IFERROR(_xlfn.XLOOKUP(H452,$N$2:$N$8,$M$2:$M$8,H452,0),H452)</f>
        <v>16</v>
      </c>
      <c r="J452" s="83">
        <v>0</v>
      </c>
      <c r="K452" s="84">
        <v>1</v>
      </c>
      <c r="L452" t="b">
        <f>=E452=H452</f>
        <v>1</v>
      </c>
    </row>
    <row r="453" spans="1:12">
      <c r="A453" s="76" t="s"/>
      <c r="B453" s="22" t="s">
        <v>24</v>
      </c>
      <c r="C453" s="9" t="s">
        <v>12</v>
      </c>
      <c r="D453" s="98" t="s"/>
      <c r="E453" s="51" t="s">
        <v>17</v>
      </c>
      <c r="F453" s="51" t="s"/>
      <c r="G453" s="51" t="s"/>
      <c r="H453" s="25" t="s">
        <v>17</v>
      </c>
      <c r="I453" s="25" t="s">
        <f>=IFERROR(_xlfn.XLOOKUP(H453,$N$2:$N$8,$M$2:$M$8,H453,0),H453)</f>
        <v>16</v>
      </c>
      <c r="J453" s="83">
        <v>0</v>
      </c>
      <c r="K453" s="84">
        <v>0</v>
      </c>
      <c r="L453" t="b">
        <f>=E453=H453</f>
        <v>1</v>
      </c>
    </row>
    <row r="454" spans="1:12">
      <c r="A454" s="76" t="s"/>
      <c r="B454" s="22" t="s">
        <v>24</v>
      </c>
      <c r="C454" s="9" t="s">
        <v>14</v>
      </c>
      <c r="D454" s="98" t="s"/>
      <c r="E454" s="51" t="s">
        <v>17</v>
      </c>
      <c r="F454" s="51" t="s"/>
      <c r="G454" s="51" t="s"/>
      <c r="H454" s="25" t="s">
        <v>17</v>
      </c>
      <c r="I454" s="25" t="s">
        <f>=IFERROR(_xlfn.XLOOKUP(H454,$N$2:$N$8,$M$2:$M$8,H454,0),H454)</f>
        <v>16</v>
      </c>
      <c r="J454" s="83">
        <v>0</v>
      </c>
      <c r="K454" s="84">
        <v>0</v>
      </c>
      <c r="L454" t="b">
        <f>=E454=H454</f>
        <v>1</v>
      </c>
    </row>
    <row r="455" spans="1:12">
      <c r="A455" s="76" t="s"/>
      <c r="B455" s="22" t="s">
        <v>24</v>
      </c>
      <c r="C455" s="9" t="s">
        <v>16</v>
      </c>
      <c r="D455" s="98" t="s"/>
      <c r="E455" s="51" t="s">
        <v>17</v>
      </c>
      <c r="F455" s="51" t="s"/>
      <c r="G455" s="51" t="s"/>
      <c r="H455" s="25" t="s">
        <v>17</v>
      </c>
      <c r="I455" s="25" t="s">
        <f>=IFERROR(_xlfn.XLOOKUP(H455,$N$2:$N$8,$M$2:$M$8,H455,0),H455)</f>
        <v>16</v>
      </c>
      <c r="J455" s="83">
        <v>1</v>
      </c>
      <c r="K455" s="84">
        <v>0</v>
      </c>
      <c r="L455" t="b">
        <f>=E455=H455</f>
        <v>1</v>
      </c>
    </row>
    <row r="456" spans="1:12">
      <c r="A456" s="76" t="s"/>
      <c r="B456" s="22" t="s">
        <v>24</v>
      </c>
      <c r="C456" s="9" t="s">
        <v>18</v>
      </c>
      <c r="D456" s="98" t="s"/>
      <c r="E456" s="51" t="s">
        <v>17</v>
      </c>
      <c r="F456" s="51" t="s"/>
      <c r="G456" s="51" t="s"/>
      <c r="H456" s="25" t="s">
        <v>17</v>
      </c>
      <c r="I456" s="25" t="s">
        <f>=IFERROR(_xlfn.XLOOKUP(H456,$N$2:$N$8,$M$2:$M$8,H456,0),H456)</f>
        <v>16</v>
      </c>
      <c r="J456" s="83">
        <v>0</v>
      </c>
      <c r="K456" s="84">
        <v>0</v>
      </c>
      <c r="L456" t="b">
        <f>=E456=H456</f>
        <v>1</v>
      </c>
    </row>
    <row r="457" spans="1:12">
      <c r="A457" s="76" t="s"/>
      <c r="B457" s="22" t="s">
        <v>24</v>
      </c>
      <c r="C457" s="9" t="s">
        <v>20</v>
      </c>
      <c r="D457" s="98" t="s"/>
      <c r="E457" s="51" t="s">
        <v>17</v>
      </c>
      <c r="F457" s="51" t="s"/>
      <c r="G457" s="51" t="s"/>
      <c r="H457" s="25" t="s">
        <v>17</v>
      </c>
      <c r="I457" s="25" t="s">
        <f>=IFERROR(_xlfn.XLOOKUP(H457,$N$2:$N$8,$M$2:$M$8,H457,0),H457)</f>
        <v>16</v>
      </c>
      <c r="J457" s="83">
        <v>0</v>
      </c>
      <c r="K457" s="84">
        <v>0</v>
      </c>
      <c r="L457" t="b">
        <f>=E457=H457</f>
        <v>1</v>
      </c>
    </row>
    <row r="458" spans="1:12">
      <c r="A458" s="80" t="s"/>
      <c r="B458" s="22" t="s">
        <v>24</v>
      </c>
      <c r="C458" s="9" t="s">
        <v>22</v>
      </c>
      <c r="D458" s="98" t="s"/>
      <c r="E458" s="51" t="s">
        <v>17</v>
      </c>
      <c r="F458" s="51" t="s"/>
      <c r="G458" s="51" t="s"/>
      <c r="H458" s="25" t="s">
        <v>17</v>
      </c>
      <c r="I458" s="25" t="s">
        <f>=IFERROR(_xlfn.XLOOKUP(H458,$N$2:$N$8,$M$2:$M$8,H458,0),H458)</f>
        <v>16</v>
      </c>
      <c r="J458" s="81">
        <v>0</v>
      </c>
      <c r="K458" s="82">
        <v>0</v>
      </c>
      <c r="L458" t="b">
        <f>=E458=H458</f>
        <v>1</v>
      </c>
    </row>
    <row r="459" spans="1:12">
      <c r="A459" s="80" t="s"/>
      <c r="B459" s="22" t="s">
        <v>24</v>
      </c>
      <c r="C459" s="9" t="s">
        <v>24</v>
      </c>
      <c r="D459" s="101" t="s"/>
      <c r="E459" s="102" t="s">
        <v>17</v>
      </c>
      <c r="F459" s="102" t="s"/>
      <c r="G459" s="102" t="s"/>
      <c r="H459" s="34" t="s">
        <v>17</v>
      </c>
      <c r="I459" s="103" t="s">
        <f>=IFERROR(_xlfn.XLOOKUP(H459,$N$2:$N$8,$M$2:$M$8,H459,0),H459)</f>
        <v>16</v>
      </c>
      <c r="J459" s="88">
        <v>1</v>
      </c>
      <c r="K459" s="89">
        <v>0</v>
      </c>
      <c r="L459" t="b">
        <f>=E459=H459</f>
        <v>1</v>
      </c>
    </row>
    <row r="460" spans="1:11">
      <c r="A460" s="93" t="s"/>
      <c r="B460" s="93" t="s"/>
      <c r="C460" s="95" t="s"/>
      <c r="D460" s="93" t="s"/>
      <c r="E460" s="94" t="s"/>
      <c r="F460" s="94" t="s"/>
      <c r="G460" s="93" t="s"/>
      <c r="H460" s="95" t="s"/>
      <c r="I460" s="95" t="s"/>
      <c r="J460" s="96" t="s">
        <v>29</v>
      </c>
      <c r="K460" s="97" t="s">
        <v>30</v>
      </c>
    </row>
    <row r="461" spans="1:12">
      <c r="A461" s="76" t="s">
        <v>42</v>
      </c>
      <c r="B461" s="12" t="s">
        <v>12</v>
      </c>
      <c r="C461" s="13" t="s">
        <v>12</v>
      </c>
      <c r="D461" s="98" t="s"/>
      <c r="E461" s="51" t="s">
        <v>13</v>
      </c>
      <c r="F461" s="51" t="s"/>
      <c r="G461" s="51" t="s"/>
      <c r="H461" s="25" t="s">
        <v>13</v>
      </c>
      <c r="I461" s="25" t="s">
        <f>=IFERROR(_xlfn.XLOOKUP(H461,$N$2:$N$8,$M$2:$M$8,H461,0),H461)</f>
        <v>12</v>
      </c>
      <c r="J461" s="78">
        <v>1</v>
      </c>
      <c r="K461" s="79">
        <v>0</v>
      </c>
      <c r="L461" t="b">
        <f>=E461=H461</f>
        <v>1</v>
      </c>
    </row>
    <row r="462" spans="1:12">
      <c r="A462" s="80" t="s"/>
      <c r="B462" s="22" t="s">
        <v>12</v>
      </c>
      <c r="C462" s="9" t="s">
        <v>14</v>
      </c>
      <c r="D462" s="98" t="s"/>
      <c r="E462" s="51" t="s">
        <v>13</v>
      </c>
      <c r="F462" s="51" t="s"/>
      <c r="G462" s="51" t="s"/>
      <c r="H462" s="25" t="s">
        <v>13</v>
      </c>
      <c r="I462" s="25" t="s">
        <f>=IFERROR(_xlfn.XLOOKUP(H462,$N$2:$N$8,$M$2:$M$8,H462,0),H462)</f>
        <v>12</v>
      </c>
      <c r="J462" s="81">
        <v>1</v>
      </c>
      <c r="K462" s="82">
        <v>0</v>
      </c>
      <c r="L462" t="b">
        <f>=E462=H462</f>
        <v>1</v>
      </c>
    </row>
    <row r="463" spans="1:12">
      <c r="A463" s="80" t="s"/>
      <c r="B463" s="28" t="s">
        <v>12</v>
      </c>
      <c r="C463" s="9" t="s">
        <v>16</v>
      </c>
      <c r="D463" s="98" t="s"/>
      <c r="E463" s="51" t="s">
        <v>13</v>
      </c>
      <c r="F463" s="51" t="s"/>
      <c r="G463" s="51" t="s"/>
      <c r="H463" s="25" t="s">
        <v>13</v>
      </c>
      <c r="I463" s="25" t="s">
        <f>=IFERROR(_xlfn.XLOOKUP(H463,$N$2:$N$8,$M$2:$M$8,H463,0),H463)</f>
        <v>12</v>
      </c>
      <c r="J463" s="81">
        <v>0</v>
      </c>
      <c r="K463" s="82">
        <v>1</v>
      </c>
      <c r="L463" t="b">
        <f>=E463=H463</f>
        <v>1</v>
      </c>
    </row>
    <row r="464" spans="1:12">
      <c r="A464" s="76" t="s"/>
      <c r="B464" s="28" t="s">
        <v>12</v>
      </c>
      <c r="C464" s="9" t="s">
        <v>18</v>
      </c>
      <c r="D464" s="98" t="s"/>
      <c r="E464" s="51" t="s">
        <v>19</v>
      </c>
      <c r="F464" s="51" t="s"/>
      <c r="G464" s="51" t="s"/>
      <c r="H464" s="25" t="s">
        <v>19</v>
      </c>
      <c r="I464" s="25" t="s">
        <f>=IFERROR(_xlfn.XLOOKUP(H464,$N$2:$N$8,$M$2:$M$8,H464,0),H464)</f>
        <v>18</v>
      </c>
      <c r="J464" s="83">
        <v>0</v>
      </c>
      <c r="K464" s="84">
        <v>0</v>
      </c>
      <c r="L464" t="b">
        <f>=E464=H464</f>
        <v>1</v>
      </c>
    </row>
    <row r="465" spans="1:12">
      <c r="A465" s="76" t="s"/>
      <c r="B465" s="28" t="s">
        <v>12</v>
      </c>
      <c r="C465" s="9" t="s">
        <v>20</v>
      </c>
      <c r="D465" s="98" t="s"/>
      <c r="E465" s="51" t="s">
        <v>19</v>
      </c>
      <c r="F465" s="51" t="s"/>
      <c r="G465" s="51" t="s"/>
      <c r="H465" s="25" t="s">
        <v>19</v>
      </c>
      <c r="I465" s="25" t="s">
        <f>=IFERROR(_xlfn.XLOOKUP(H465,$N$2:$N$8,$M$2:$M$8,H465,0),H465)</f>
        <v>18</v>
      </c>
      <c r="J465" s="83">
        <v>0</v>
      </c>
      <c r="K465" s="84">
        <v>0</v>
      </c>
      <c r="L465" t="b">
        <f>=E465=H465</f>
        <v>1</v>
      </c>
    </row>
    <row r="466" spans="1:12">
      <c r="A466" s="76" t="s"/>
      <c r="B466" s="22" t="s">
        <v>12</v>
      </c>
      <c r="C466" s="9" t="s">
        <v>22</v>
      </c>
      <c r="D466" s="98" t="s"/>
      <c r="E466" s="51" t="s">
        <v>13</v>
      </c>
      <c r="F466" s="51" t="s"/>
      <c r="G466" s="51" t="s"/>
      <c r="H466" s="25" t="s">
        <v>13</v>
      </c>
      <c r="I466" s="25" t="s">
        <f>=IFERROR(_xlfn.XLOOKUP(H466,$N$2:$N$8,$M$2:$M$8,H466,0),H466)</f>
        <v>12</v>
      </c>
      <c r="J466" s="83">
        <v>1</v>
      </c>
      <c r="K466" s="84">
        <v>0</v>
      </c>
      <c r="L466" t="b">
        <f>=E466=H466</f>
        <v>1</v>
      </c>
    </row>
    <row r="467" spans="1:12">
      <c r="A467" s="76" t="s"/>
      <c r="B467" s="22" t="s">
        <v>12</v>
      </c>
      <c r="C467" s="9" t="s">
        <v>24</v>
      </c>
      <c r="D467" s="98" t="s"/>
      <c r="E467" s="51" t="s">
        <v>13</v>
      </c>
      <c r="F467" s="51" t="s"/>
      <c r="G467" s="51" t="s"/>
      <c r="H467" s="25" t="s">
        <v>13</v>
      </c>
      <c r="I467" s="25" t="s">
        <f>=IFERROR(_xlfn.XLOOKUP(H467,$N$2:$N$8,$M$2:$M$8,H467,0),H467)</f>
        <v>12</v>
      </c>
      <c r="J467" s="83">
        <v>0</v>
      </c>
      <c r="K467" s="84">
        <v>1</v>
      </c>
      <c r="L467" t="b">
        <f>=E467=H467</f>
        <v>1</v>
      </c>
    </row>
    <row r="468" spans="1:12">
      <c r="A468" s="76" t="s"/>
      <c r="B468" s="22" t="s">
        <v>14</v>
      </c>
      <c r="C468" s="9" t="s">
        <v>12</v>
      </c>
      <c r="D468" s="98" t="s"/>
      <c r="E468" s="51" t="s">
        <v>13</v>
      </c>
      <c r="F468" s="51" t="s"/>
      <c r="G468" s="51" t="s"/>
      <c r="H468" s="25" t="s">
        <v>13</v>
      </c>
      <c r="I468" s="25" t="s">
        <f>=IFERROR(_xlfn.XLOOKUP(H468,$N$2:$N$8,$M$2:$M$8,H468,0),H468)</f>
        <v>12</v>
      </c>
      <c r="J468" s="83">
        <v>1</v>
      </c>
      <c r="K468" s="84">
        <v>0</v>
      </c>
      <c r="L468" t="b">
        <f>=E468=H468</f>
        <v>1</v>
      </c>
    </row>
    <row r="469" spans="1:12">
      <c r="A469" s="76" t="s"/>
      <c r="B469" s="7" t="s">
        <v>14</v>
      </c>
      <c r="C469" s="9" t="s">
        <v>14</v>
      </c>
      <c r="D469" s="98" t="s"/>
      <c r="E469" s="51" t="s">
        <v>13</v>
      </c>
      <c r="F469" s="51" t="s"/>
      <c r="G469" s="51" t="s"/>
      <c r="H469" s="25" t="s">
        <v>13</v>
      </c>
      <c r="I469" s="25" t="s">
        <f>=IFERROR(_xlfn.XLOOKUP(H469,$N$2:$N$8,$M$2:$M$8,H469,0),H469)</f>
        <v>12</v>
      </c>
      <c r="J469" s="83">
        <v>1</v>
      </c>
      <c r="K469" s="84">
        <v>0</v>
      </c>
      <c r="L469" t="b">
        <f>=E469=H469</f>
        <v>1</v>
      </c>
    </row>
    <row r="470" spans="1:12">
      <c r="A470" s="76" t="s"/>
      <c r="B470" s="22" t="s">
        <v>14</v>
      </c>
      <c r="C470" s="9" t="s">
        <v>16</v>
      </c>
      <c r="D470" s="98" t="s"/>
      <c r="E470" s="51" t="s">
        <v>13</v>
      </c>
      <c r="F470" s="51" t="s"/>
      <c r="G470" s="51" t="s"/>
      <c r="H470" s="25" t="s">
        <v>13</v>
      </c>
      <c r="I470" s="25" t="s">
        <f>=IFERROR(_xlfn.XLOOKUP(H470,$N$2:$N$8,$M$2:$M$8,H470,0),H470)</f>
        <v>12</v>
      </c>
      <c r="J470" s="83">
        <v>0</v>
      </c>
      <c r="K470" s="84">
        <v>1</v>
      </c>
      <c r="L470" t="b">
        <f>=E470=H470</f>
        <v>1</v>
      </c>
    </row>
    <row r="471" spans="1:12">
      <c r="A471" s="76" t="s"/>
      <c r="B471" s="22" t="s">
        <v>14</v>
      </c>
      <c r="C471" s="9" t="s">
        <v>18</v>
      </c>
      <c r="D471" s="98" t="s"/>
      <c r="E471" s="51" t="s">
        <v>19</v>
      </c>
      <c r="F471" s="51" t="s"/>
      <c r="G471" s="51" t="s"/>
      <c r="H471" s="25" t="s">
        <v>19</v>
      </c>
      <c r="I471" s="25" t="s">
        <f>=IFERROR(_xlfn.XLOOKUP(H471,$N$2:$N$8,$M$2:$M$8,H471,0),H471)</f>
        <v>18</v>
      </c>
      <c r="J471" s="83">
        <v>0</v>
      </c>
      <c r="K471" s="84">
        <v>0</v>
      </c>
      <c r="L471" t="b">
        <f>=E471=H471</f>
        <v>1</v>
      </c>
    </row>
    <row r="472" spans="1:12">
      <c r="A472" s="76" t="s"/>
      <c r="B472" s="22" t="s">
        <v>14</v>
      </c>
      <c r="C472" s="9" t="s">
        <v>20</v>
      </c>
      <c r="D472" s="98" t="s"/>
      <c r="E472" s="51" t="s">
        <v>19</v>
      </c>
      <c r="F472" s="51" t="s"/>
      <c r="G472" s="51" t="s"/>
      <c r="H472" s="25" t="s">
        <v>19</v>
      </c>
      <c r="I472" s="25" t="s">
        <f>=IFERROR(_xlfn.XLOOKUP(H472,$N$2:$N$8,$M$2:$M$8,H472,0),H472)</f>
        <v>18</v>
      </c>
      <c r="J472" s="83">
        <v>0</v>
      </c>
      <c r="K472" s="84">
        <v>0</v>
      </c>
      <c r="L472" t="b">
        <f>=E472=H472</f>
        <v>1</v>
      </c>
    </row>
    <row r="473" spans="1:12">
      <c r="A473" s="76" t="s"/>
      <c r="B473" s="22" t="s">
        <v>14</v>
      </c>
      <c r="C473" s="9" t="s">
        <v>22</v>
      </c>
      <c r="D473" s="98" t="s"/>
      <c r="E473" s="51" t="s">
        <v>13</v>
      </c>
      <c r="F473" s="51" t="s"/>
      <c r="G473" s="51" t="s"/>
      <c r="H473" s="25" t="s">
        <v>13</v>
      </c>
      <c r="I473" s="25" t="s">
        <f>=IFERROR(_xlfn.XLOOKUP(H473,$N$2:$N$8,$M$2:$M$8,H473,0),H473)</f>
        <v>12</v>
      </c>
      <c r="J473" s="83">
        <v>1</v>
      </c>
      <c r="K473" s="84">
        <v>0</v>
      </c>
      <c r="L473" t="b">
        <f>=E473=H473</f>
        <v>1</v>
      </c>
    </row>
    <row r="474" spans="1:12">
      <c r="A474" s="76" t="s"/>
      <c r="B474" s="22" t="s">
        <v>14</v>
      </c>
      <c r="C474" s="9" t="s">
        <v>24</v>
      </c>
      <c r="D474" s="98" t="s"/>
      <c r="E474" s="51" t="s">
        <v>13</v>
      </c>
      <c r="F474" s="51" t="s"/>
      <c r="G474" s="51" t="s"/>
      <c r="H474" s="25" t="s">
        <v>13</v>
      </c>
      <c r="I474" s="25" t="s">
        <f>=IFERROR(_xlfn.XLOOKUP(H474,$N$2:$N$8,$M$2:$M$8,H474,0),H474)</f>
        <v>12</v>
      </c>
      <c r="J474" s="83">
        <v>0</v>
      </c>
      <c r="K474" s="84">
        <v>1</v>
      </c>
      <c r="L474" t="b">
        <f>=E474=H474</f>
        <v>1</v>
      </c>
    </row>
    <row r="475" spans="1:12">
      <c r="A475" s="76" t="s"/>
      <c r="B475" s="22" t="s">
        <v>16</v>
      </c>
      <c r="C475" s="9" t="s">
        <v>12</v>
      </c>
      <c r="D475" s="98" t="s"/>
      <c r="E475" s="51" t="s">
        <v>13</v>
      </c>
      <c r="F475" s="51" t="s"/>
      <c r="G475" s="51" t="s"/>
      <c r="H475" s="25" t="s">
        <v>13</v>
      </c>
      <c r="I475" s="25" t="s">
        <f>=IFERROR(_xlfn.XLOOKUP(H475,$N$2:$N$8,$M$2:$M$8,H475,0),H475)</f>
        <v>12</v>
      </c>
      <c r="J475" s="83">
        <v>0</v>
      </c>
      <c r="K475" s="84">
        <v>0</v>
      </c>
      <c r="L475" t="b">
        <f>=E475=H475</f>
        <v>1</v>
      </c>
    </row>
    <row r="476" spans="1:12">
      <c r="A476" s="76" t="s"/>
      <c r="B476" s="22" t="s">
        <v>16</v>
      </c>
      <c r="C476" s="9" t="s">
        <v>14</v>
      </c>
      <c r="D476" s="98" t="s"/>
      <c r="E476" s="51" t="s">
        <v>13</v>
      </c>
      <c r="F476" s="51" t="s"/>
      <c r="G476" s="51" t="s"/>
      <c r="H476" s="25" t="s">
        <v>13</v>
      </c>
      <c r="I476" s="25" t="s">
        <f>=IFERROR(_xlfn.XLOOKUP(H476,$N$2:$N$8,$M$2:$M$8,H476,0),H476)</f>
        <v>12</v>
      </c>
      <c r="J476" s="83">
        <v>0</v>
      </c>
      <c r="K476" s="84">
        <v>0</v>
      </c>
      <c r="L476" t="b">
        <f>=E476=H476</f>
        <v>1</v>
      </c>
    </row>
    <row r="477" spans="1:12">
      <c r="A477" s="76" t="s"/>
      <c r="B477" s="22" t="s">
        <v>16</v>
      </c>
      <c r="C477" s="9" t="s">
        <v>16</v>
      </c>
      <c r="D477" s="98" t="s"/>
      <c r="E477" s="51" t="s">
        <v>17</v>
      </c>
      <c r="F477" s="51" t="s"/>
      <c r="G477" s="51" t="s"/>
      <c r="H477" s="25" t="s">
        <v>17</v>
      </c>
      <c r="I477" s="25" t="s">
        <f>=IFERROR(_xlfn.XLOOKUP(H477,$N$2:$N$8,$M$2:$M$8,H477,0),H477)</f>
        <v>16</v>
      </c>
      <c r="J477" s="83">
        <v>1</v>
      </c>
      <c r="K477" s="84">
        <v>0</v>
      </c>
      <c r="L477" t="b">
        <f>=E477=H477</f>
        <v>1</v>
      </c>
    </row>
    <row r="478" spans="1:12">
      <c r="A478" s="76" t="s"/>
      <c r="B478" s="22" t="s">
        <v>16</v>
      </c>
      <c r="C478" s="9" t="s">
        <v>18</v>
      </c>
      <c r="D478" s="98" t="s"/>
      <c r="E478" s="51" t="s">
        <v>19</v>
      </c>
      <c r="F478" s="51" t="s"/>
      <c r="G478" s="51" t="s"/>
      <c r="H478" s="25" t="s">
        <v>19</v>
      </c>
      <c r="I478" s="25" t="s">
        <f>=IFERROR(_xlfn.XLOOKUP(H478,$N$2:$N$8,$M$2:$M$8,H478,0),H478)</f>
        <v>18</v>
      </c>
      <c r="J478" s="83">
        <v>0</v>
      </c>
      <c r="K478" s="84">
        <v>0</v>
      </c>
      <c r="L478" t="b">
        <f>=E478=H478</f>
        <v>1</v>
      </c>
    </row>
    <row r="479" spans="1:12">
      <c r="A479" s="76" t="s"/>
      <c r="B479" s="22" t="s">
        <v>16</v>
      </c>
      <c r="C479" s="9" t="s">
        <v>20</v>
      </c>
      <c r="D479" s="98" t="s"/>
      <c r="E479" s="51" t="s">
        <v>19</v>
      </c>
      <c r="F479" s="51" t="s"/>
      <c r="G479" s="51" t="s"/>
      <c r="H479" s="25" t="s">
        <v>19</v>
      </c>
      <c r="I479" s="25" t="s">
        <f>=IFERROR(_xlfn.XLOOKUP(H479,$N$2:$N$8,$M$2:$M$8,H479,0),H479)</f>
        <v>18</v>
      </c>
      <c r="J479" s="83">
        <v>0</v>
      </c>
      <c r="K479" s="84">
        <v>0</v>
      </c>
      <c r="L479" t="b">
        <f>=E479=H479</f>
        <v>1</v>
      </c>
    </row>
    <row r="480" spans="1:12">
      <c r="A480" s="76" t="s"/>
      <c r="B480" s="22" t="s">
        <v>16</v>
      </c>
      <c r="C480" s="9" t="s">
        <v>22</v>
      </c>
      <c r="D480" s="98" t="s"/>
      <c r="E480" s="51" t="s">
        <v>13</v>
      </c>
      <c r="F480" s="51" t="s"/>
      <c r="G480" s="51" t="s"/>
      <c r="H480" s="25" t="s">
        <v>13</v>
      </c>
      <c r="I480" s="25" t="s">
        <f>=IFERROR(_xlfn.XLOOKUP(H480,$N$2:$N$8,$M$2:$M$8,H480,0),H480)</f>
        <v>12</v>
      </c>
      <c r="J480" s="83">
        <v>0</v>
      </c>
      <c r="K480" s="84">
        <v>0</v>
      </c>
      <c r="L480" t="b">
        <f>=E480=H480</f>
        <v>1</v>
      </c>
    </row>
    <row r="481" spans="1:12">
      <c r="A481" s="76" t="s"/>
      <c r="B481" s="22" t="s">
        <v>16</v>
      </c>
      <c r="C481" s="9" t="s">
        <v>24</v>
      </c>
      <c r="D481" s="98" t="s"/>
      <c r="E481" s="51" t="s">
        <v>17</v>
      </c>
      <c r="F481" s="51" t="s"/>
      <c r="G481" s="51" t="s"/>
      <c r="H481" s="25" t="s">
        <v>17</v>
      </c>
      <c r="I481" s="25" t="s">
        <f>=IFERROR(_xlfn.XLOOKUP(H481,$N$2:$N$8,$M$2:$M$8,H481,0),H481)</f>
        <v>16</v>
      </c>
      <c r="J481" s="83">
        <v>1</v>
      </c>
      <c r="K481" s="84">
        <v>0</v>
      </c>
      <c r="L481" t="b">
        <f>=E481=H481</f>
        <v>1</v>
      </c>
    </row>
    <row r="482" spans="1:12">
      <c r="A482" s="76" t="s"/>
      <c r="B482" s="22" t="s">
        <v>18</v>
      </c>
      <c r="C482" s="9" t="s">
        <v>12</v>
      </c>
      <c r="D482" s="98" t="s"/>
      <c r="E482" s="51" t="s">
        <v>19</v>
      </c>
      <c r="F482" s="51" t="s"/>
      <c r="G482" s="51" t="s"/>
      <c r="H482" s="25" t="s">
        <v>19</v>
      </c>
      <c r="I482" s="25" t="s">
        <f>=IFERROR(_xlfn.XLOOKUP(H482,$N$2:$N$8,$M$2:$M$8,H482,0),H482)</f>
        <v>18</v>
      </c>
      <c r="J482" s="83">
        <v>0</v>
      </c>
      <c r="K482" s="84">
        <v>1</v>
      </c>
      <c r="L482" t="b">
        <f>=E482=H482</f>
        <v>1</v>
      </c>
    </row>
    <row r="483" spans="1:12">
      <c r="A483" s="76" t="s"/>
      <c r="B483" s="22" t="s">
        <v>18</v>
      </c>
      <c r="C483" s="9" t="s">
        <v>14</v>
      </c>
      <c r="D483" s="98" t="s"/>
      <c r="E483" s="51" t="s">
        <v>19</v>
      </c>
      <c r="F483" s="51" t="s"/>
      <c r="G483" s="51" t="s"/>
      <c r="H483" s="25" t="s">
        <v>19</v>
      </c>
      <c r="I483" s="25" t="s">
        <f>=IFERROR(_xlfn.XLOOKUP(H483,$N$2:$N$8,$M$2:$M$8,H483,0),H483)</f>
        <v>18</v>
      </c>
      <c r="J483" s="83">
        <v>0</v>
      </c>
      <c r="K483" s="84">
        <v>1</v>
      </c>
      <c r="L483" t="b">
        <f>=E483=H483</f>
        <v>1</v>
      </c>
    </row>
    <row r="484" spans="1:12">
      <c r="A484" s="76" t="s"/>
      <c r="B484" s="22" t="s">
        <v>18</v>
      </c>
      <c r="C484" s="9" t="s">
        <v>16</v>
      </c>
      <c r="D484" s="98" t="s"/>
      <c r="E484" s="51" t="s">
        <v>19</v>
      </c>
      <c r="F484" s="51" t="s"/>
      <c r="G484" s="51" t="s"/>
      <c r="H484" s="25" t="s">
        <v>19</v>
      </c>
      <c r="I484" s="25" t="s">
        <f>=IFERROR(_xlfn.XLOOKUP(H484,$N$2:$N$8,$M$2:$M$8,H484,0),H484)</f>
        <v>18</v>
      </c>
      <c r="J484" s="83">
        <v>0</v>
      </c>
      <c r="K484" s="84">
        <v>1</v>
      </c>
      <c r="L484" t="b">
        <f>=E484=H484</f>
        <v>1</v>
      </c>
    </row>
    <row r="485" spans="1:12">
      <c r="A485" s="76" t="s"/>
      <c r="B485" s="22" t="s">
        <v>18</v>
      </c>
      <c r="C485" s="9" t="s">
        <v>18</v>
      </c>
      <c r="D485" s="98" t="s"/>
      <c r="E485" s="51" t="s">
        <v>19</v>
      </c>
      <c r="F485" s="51" t="s"/>
      <c r="G485" s="51" t="s"/>
      <c r="H485" s="25" t="s">
        <v>19</v>
      </c>
      <c r="I485" s="25" t="s">
        <f>=IFERROR(_xlfn.XLOOKUP(H485,$N$2:$N$8,$M$2:$M$8,H485,0),H485)</f>
        <v>18</v>
      </c>
      <c r="J485" s="83">
        <v>1</v>
      </c>
      <c r="K485" s="84">
        <v>0</v>
      </c>
      <c r="L485" t="b">
        <f>=E485=H485</f>
        <v>1</v>
      </c>
    </row>
    <row r="486" spans="1:12">
      <c r="A486" s="76" t="s"/>
      <c r="B486" s="22" t="s">
        <v>18</v>
      </c>
      <c r="C486" s="9" t="s">
        <v>20</v>
      </c>
      <c r="D486" s="98" t="s"/>
      <c r="E486" s="51" t="s">
        <v>19</v>
      </c>
      <c r="F486" s="51" t="s"/>
      <c r="G486" s="51" t="s"/>
      <c r="H486" s="25" t="s">
        <v>19</v>
      </c>
      <c r="I486" s="25" t="s">
        <f>=IFERROR(_xlfn.XLOOKUP(H486,$N$2:$N$8,$M$2:$M$8,H486,0),H486)</f>
        <v>18</v>
      </c>
      <c r="J486" s="83">
        <v>1</v>
      </c>
      <c r="K486" s="84">
        <v>0</v>
      </c>
      <c r="L486" t="b">
        <f>=E486=H486</f>
        <v>1</v>
      </c>
    </row>
    <row r="487" spans="1:12">
      <c r="A487" s="76" t="s"/>
      <c r="B487" s="22" t="s">
        <v>18</v>
      </c>
      <c r="C487" s="9" t="s">
        <v>22</v>
      </c>
      <c r="D487" s="98" t="s"/>
      <c r="E487" s="51" t="s">
        <v>19</v>
      </c>
      <c r="F487" s="51" t="s"/>
      <c r="G487" s="51" t="s"/>
      <c r="H487" s="25" t="s">
        <v>19</v>
      </c>
      <c r="I487" s="25" t="s">
        <f>=IFERROR(_xlfn.XLOOKUP(H487,$N$2:$N$8,$M$2:$M$8,H487,0),H487)</f>
        <v>18</v>
      </c>
      <c r="J487" s="83">
        <v>0</v>
      </c>
      <c r="K487" s="84">
        <v>1</v>
      </c>
      <c r="L487" t="b">
        <f>=E487=H487</f>
        <v>1</v>
      </c>
    </row>
    <row r="488" spans="1:12">
      <c r="A488" s="76" t="s"/>
      <c r="B488" s="22" t="s">
        <v>18</v>
      </c>
      <c r="C488" s="9" t="s">
        <v>24</v>
      </c>
      <c r="D488" s="98" t="s"/>
      <c r="E488" s="51" t="s">
        <v>19</v>
      </c>
      <c r="F488" s="51" t="s"/>
      <c r="G488" s="51" t="s"/>
      <c r="H488" s="25" t="s">
        <v>19</v>
      </c>
      <c r="I488" s="25" t="s">
        <f>=IFERROR(_xlfn.XLOOKUP(H488,$N$2:$N$8,$M$2:$M$8,H488,0),H488)</f>
        <v>18</v>
      </c>
      <c r="J488" s="83">
        <v>0</v>
      </c>
      <c r="K488" s="84">
        <v>1</v>
      </c>
      <c r="L488" t="b">
        <f>=E488=H488</f>
        <v>1</v>
      </c>
    </row>
    <row r="489" spans="1:12">
      <c r="A489" s="76" t="s"/>
      <c r="B489" s="22" t="s">
        <v>20</v>
      </c>
      <c r="C489" s="9" t="s">
        <v>12</v>
      </c>
      <c r="D489" s="98" t="s"/>
      <c r="E489" s="51" t="s">
        <v>19</v>
      </c>
      <c r="F489" s="51" t="s"/>
      <c r="G489" s="51" t="s"/>
      <c r="H489" s="25" t="s">
        <v>19</v>
      </c>
      <c r="I489" s="25" t="s">
        <f>=IFERROR(_xlfn.XLOOKUP(H489,$N$2:$N$8,$M$2:$M$8,H489,0),H489)</f>
        <v>18</v>
      </c>
      <c r="J489" s="83">
        <v>0</v>
      </c>
      <c r="K489" s="84">
        <v>1</v>
      </c>
      <c r="L489" t="b">
        <f>=E489=H489</f>
        <v>1</v>
      </c>
    </row>
    <row r="490" spans="1:12">
      <c r="A490" s="76" t="s"/>
      <c r="B490" s="22" t="s">
        <v>20</v>
      </c>
      <c r="C490" s="9" t="s">
        <v>14</v>
      </c>
      <c r="D490" s="98" t="s"/>
      <c r="E490" s="51" t="s">
        <v>19</v>
      </c>
      <c r="F490" s="51" t="s"/>
      <c r="G490" s="51" t="s"/>
      <c r="H490" s="25" t="s">
        <v>19</v>
      </c>
      <c r="I490" s="25" t="s">
        <f>=IFERROR(_xlfn.XLOOKUP(H490,$N$2:$N$8,$M$2:$M$8,H490,0),H490)</f>
        <v>18</v>
      </c>
      <c r="J490" s="83">
        <v>0</v>
      </c>
      <c r="K490" s="84">
        <v>1</v>
      </c>
      <c r="L490" t="b">
        <f>=E490=H490</f>
        <v>1</v>
      </c>
    </row>
    <row r="491" spans="1:12">
      <c r="A491" s="76" t="s"/>
      <c r="B491" s="22" t="s">
        <v>20</v>
      </c>
      <c r="C491" s="9" t="s">
        <v>16</v>
      </c>
      <c r="D491" s="98" t="s"/>
      <c r="E491" s="51" t="s">
        <v>19</v>
      </c>
      <c r="F491" s="51" t="s"/>
      <c r="G491" s="51" t="s"/>
      <c r="H491" s="25" t="s">
        <v>19</v>
      </c>
      <c r="I491" s="25" t="s">
        <f>=IFERROR(_xlfn.XLOOKUP(H491,$N$2:$N$8,$M$2:$M$8,H491,0),H491)</f>
        <v>18</v>
      </c>
      <c r="J491" s="83">
        <v>0</v>
      </c>
      <c r="K491" s="84">
        <v>1</v>
      </c>
      <c r="L491" t="b">
        <f>=E491=H491</f>
        <v>1</v>
      </c>
    </row>
    <row r="492" spans="1:12">
      <c r="A492" s="76" t="s"/>
      <c r="B492" s="22" t="s">
        <v>20</v>
      </c>
      <c r="C492" s="9" t="s">
        <v>18</v>
      </c>
      <c r="D492" s="98" t="s"/>
      <c r="E492" s="51" t="s">
        <v>19</v>
      </c>
      <c r="F492" s="51" t="s"/>
      <c r="G492" s="51" t="s"/>
      <c r="H492" s="25" t="s">
        <v>19</v>
      </c>
      <c r="I492" s="25" t="s">
        <f>=IFERROR(_xlfn.XLOOKUP(H492,$N$2:$N$8,$M$2:$M$8,H492,0),H492)</f>
        <v>18</v>
      </c>
      <c r="J492" s="83">
        <v>1</v>
      </c>
      <c r="K492" s="84">
        <v>0</v>
      </c>
      <c r="L492" t="b">
        <f>=E492=H492</f>
        <v>1</v>
      </c>
    </row>
    <row r="493" spans="1:12">
      <c r="A493" s="76" t="s"/>
      <c r="B493" s="22" t="s">
        <v>20</v>
      </c>
      <c r="C493" s="9" t="s">
        <v>20</v>
      </c>
      <c r="D493" s="98" t="s"/>
      <c r="E493" s="51" t="s">
        <v>19</v>
      </c>
      <c r="F493" s="51" t="s"/>
      <c r="G493" s="51" t="s"/>
      <c r="H493" s="25" t="s">
        <v>19</v>
      </c>
      <c r="I493" s="25" t="s">
        <f>=IFERROR(_xlfn.XLOOKUP(H493,$N$2:$N$8,$M$2:$M$8,H493,0),H493)</f>
        <v>18</v>
      </c>
      <c r="J493" s="83">
        <v>1</v>
      </c>
      <c r="K493" s="84">
        <v>0</v>
      </c>
      <c r="L493" t="b">
        <f>=E493=H493</f>
        <v>1</v>
      </c>
    </row>
    <row r="494" spans="1:12">
      <c r="A494" s="76" t="s"/>
      <c r="B494" s="22" t="s">
        <v>20</v>
      </c>
      <c r="C494" s="9" t="s">
        <v>22</v>
      </c>
      <c r="D494" s="98" t="s"/>
      <c r="E494" s="51" t="s">
        <v>19</v>
      </c>
      <c r="F494" s="51" t="s"/>
      <c r="G494" s="51" t="s"/>
      <c r="H494" s="25" t="s">
        <v>19</v>
      </c>
      <c r="I494" s="25" t="s">
        <f>=IFERROR(_xlfn.XLOOKUP(H494,$N$2:$N$8,$M$2:$M$8,H494,0),H494)</f>
        <v>18</v>
      </c>
      <c r="J494" s="83">
        <v>0</v>
      </c>
      <c r="K494" s="84">
        <v>1</v>
      </c>
      <c r="L494" t="b">
        <f>=E494=H494</f>
        <v>1</v>
      </c>
    </row>
    <row r="495" spans="1:12">
      <c r="A495" s="76" t="s"/>
      <c r="B495" s="22" t="s">
        <v>20</v>
      </c>
      <c r="C495" s="9" t="s">
        <v>24</v>
      </c>
      <c r="D495" s="98" t="s"/>
      <c r="E495" s="51" t="s">
        <v>19</v>
      </c>
      <c r="F495" s="51" t="s"/>
      <c r="G495" s="51" t="s"/>
      <c r="H495" s="25" t="s">
        <v>19</v>
      </c>
      <c r="I495" s="25" t="s">
        <f>=IFERROR(_xlfn.XLOOKUP(H495,$N$2:$N$8,$M$2:$M$8,H495,0),H495)</f>
        <v>18</v>
      </c>
      <c r="J495" s="83">
        <v>0</v>
      </c>
      <c r="K495" s="84">
        <v>1</v>
      </c>
      <c r="L495" t="b">
        <f>=E495=H495</f>
        <v>1</v>
      </c>
    </row>
    <row r="496" spans="1:12">
      <c r="A496" s="76" t="s"/>
      <c r="B496" s="22" t="s">
        <v>22</v>
      </c>
      <c r="C496" s="9" t="s">
        <v>12</v>
      </c>
      <c r="D496" s="98" t="s"/>
      <c r="E496" s="51" t="s">
        <v>13</v>
      </c>
      <c r="F496" s="51" t="s"/>
      <c r="G496" s="51" t="s"/>
      <c r="H496" s="25" t="s">
        <v>13</v>
      </c>
      <c r="I496" s="25" t="s">
        <f>=IFERROR(_xlfn.XLOOKUP(H496,$N$2:$N$8,$M$2:$M$8,H496,0),H496)</f>
        <v>12</v>
      </c>
      <c r="J496" s="83">
        <v>1</v>
      </c>
      <c r="K496" s="84">
        <v>0</v>
      </c>
      <c r="L496" t="b">
        <f>=E496=H496</f>
        <v>1</v>
      </c>
    </row>
    <row r="497" spans="1:12">
      <c r="A497" s="76" t="s"/>
      <c r="B497" s="22" t="s">
        <v>22</v>
      </c>
      <c r="C497" s="9" t="s">
        <v>14</v>
      </c>
      <c r="D497" s="98" t="s"/>
      <c r="E497" s="51" t="s">
        <v>13</v>
      </c>
      <c r="F497" s="51" t="s"/>
      <c r="G497" s="51" t="s"/>
      <c r="H497" s="25" t="s">
        <v>13</v>
      </c>
      <c r="I497" s="25" t="s">
        <f>=IFERROR(_xlfn.XLOOKUP(H497,$N$2:$N$8,$M$2:$M$8,H497,0),H497)</f>
        <v>12</v>
      </c>
      <c r="J497" s="83">
        <v>1</v>
      </c>
      <c r="K497" s="84">
        <v>0</v>
      </c>
      <c r="L497" t="b">
        <f>=E497=H497</f>
        <v>1</v>
      </c>
    </row>
    <row r="498" spans="1:12">
      <c r="A498" s="76" t="s"/>
      <c r="B498" s="22" t="s">
        <v>22</v>
      </c>
      <c r="C498" s="9" t="s">
        <v>16</v>
      </c>
      <c r="D498" s="98" t="s"/>
      <c r="E498" s="51" t="s">
        <v>13</v>
      </c>
      <c r="F498" s="51" t="s"/>
      <c r="G498" s="51" t="s"/>
      <c r="H498" s="25" t="s">
        <v>13</v>
      </c>
      <c r="I498" s="25" t="s">
        <f>=IFERROR(_xlfn.XLOOKUP(H498,$N$2:$N$8,$M$2:$M$8,H498,0),H498)</f>
        <v>12</v>
      </c>
      <c r="J498" s="83">
        <v>0</v>
      </c>
      <c r="K498" s="84">
        <v>1</v>
      </c>
      <c r="L498" t="b">
        <f>=E498=H498</f>
        <v>1</v>
      </c>
    </row>
    <row r="499" spans="1:12">
      <c r="A499" s="76" t="s"/>
      <c r="B499" s="22" t="s">
        <v>22</v>
      </c>
      <c r="C499" s="9" t="s">
        <v>18</v>
      </c>
      <c r="D499" s="98" t="s"/>
      <c r="E499" s="51" t="s">
        <v>19</v>
      </c>
      <c r="F499" s="51" t="s"/>
      <c r="G499" s="51" t="s"/>
      <c r="H499" s="25" t="s">
        <v>19</v>
      </c>
      <c r="I499" s="25" t="s">
        <f>=IFERROR(_xlfn.XLOOKUP(H499,$N$2:$N$8,$M$2:$M$8,H499,0),H499)</f>
        <v>18</v>
      </c>
      <c r="J499" s="83">
        <v>0</v>
      </c>
      <c r="K499" s="84">
        <v>0</v>
      </c>
      <c r="L499" t="b">
        <f>=E499=H499</f>
        <v>1</v>
      </c>
    </row>
    <row r="500" spans="1:12">
      <c r="A500" s="76" t="s"/>
      <c r="B500" s="22" t="s">
        <v>22</v>
      </c>
      <c r="C500" s="9" t="s">
        <v>20</v>
      </c>
      <c r="D500" s="98" t="s"/>
      <c r="E500" s="51" t="s">
        <v>19</v>
      </c>
      <c r="F500" s="51" t="s"/>
      <c r="G500" s="51" t="s"/>
      <c r="H500" s="25" t="s">
        <v>19</v>
      </c>
      <c r="I500" s="25" t="s">
        <f>=IFERROR(_xlfn.XLOOKUP(H500,$N$2:$N$8,$M$2:$M$8,H500,0),H500)</f>
        <v>18</v>
      </c>
      <c r="J500" s="83">
        <v>0</v>
      </c>
      <c r="K500" s="84">
        <v>0</v>
      </c>
      <c r="L500" t="b">
        <f>=E500=H500</f>
        <v>1</v>
      </c>
    </row>
    <row r="501" spans="1:12">
      <c r="A501" s="76" t="s"/>
      <c r="B501" s="22" t="s">
        <v>22</v>
      </c>
      <c r="C501" s="9" t="s">
        <v>22</v>
      </c>
      <c r="D501" s="98" t="s"/>
      <c r="E501" s="51" t="s">
        <v>13</v>
      </c>
      <c r="F501" s="51" t="s"/>
      <c r="G501" s="51" t="s"/>
      <c r="H501" s="25" t="s">
        <v>13</v>
      </c>
      <c r="I501" s="25" t="s">
        <f>=IFERROR(_xlfn.XLOOKUP(H501,$N$2:$N$8,$M$2:$M$8,H501,0),H501)</f>
        <v>12</v>
      </c>
      <c r="J501" s="83">
        <v>1</v>
      </c>
      <c r="K501" s="84">
        <v>0</v>
      </c>
      <c r="L501" t="b">
        <f>=E501=H501</f>
        <v>1</v>
      </c>
    </row>
    <row r="502" spans="1:12">
      <c r="A502" s="76" t="s"/>
      <c r="B502" s="22" t="s">
        <v>22</v>
      </c>
      <c r="C502" s="9" t="s">
        <v>24</v>
      </c>
      <c r="D502" s="98" t="s"/>
      <c r="E502" s="51" t="s">
        <v>13</v>
      </c>
      <c r="F502" s="51" t="s"/>
      <c r="G502" s="51" t="s"/>
      <c r="H502" s="25" t="s">
        <v>13</v>
      </c>
      <c r="I502" s="25" t="s">
        <f>=IFERROR(_xlfn.XLOOKUP(H502,$N$2:$N$8,$M$2:$M$8,H502,0),H502)</f>
        <v>12</v>
      </c>
      <c r="J502" s="83">
        <v>0</v>
      </c>
      <c r="K502" s="84">
        <v>1</v>
      </c>
      <c r="L502" t="b">
        <f>=E502=H502</f>
        <v>1</v>
      </c>
    </row>
    <row r="503" spans="1:12">
      <c r="A503" s="76" t="s"/>
      <c r="B503" s="22" t="s">
        <v>24</v>
      </c>
      <c r="C503" s="9" t="s">
        <v>12</v>
      </c>
      <c r="D503" s="98" t="s"/>
      <c r="E503" s="51" t="s">
        <v>13</v>
      </c>
      <c r="F503" s="51" t="s"/>
      <c r="G503" s="51" t="s"/>
      <c r="H503" s="25" t="s">
        <v>13</v>
      </c>
      <c r="I503" s="25" t="s">
        <f>=IFERROR(_xlfn.XLOOKUP(H503,$N$2:$N$8,$M$2:$M$8,H503,0),H503)</f>
        <v>12</v>
      </c>
      <c r="J503" s="83">
        <v>0</v>
      </c>
      <c r="K503" s="84">
        <v>0</v>
      </c>
      <c r="L503" t="b">
        <f>=E503=H503</f>
        <v>1</v>
      </c>
    </row>
    <row r="504" spans="1:12">
      <c r="A504" s="76" t="s"/>
      <c r="B504" s="22" t="s">
        <v>24</v>
      </c>
      <c r="C504" s="9" t="s">
        <v>14</v>
      </c>
      <c r="D504" s="98" t="s"/>
      <c r="E504" s="51" t="s">
        <v>13</v>
      </c>
      <c r="F504" s="51" t="s"/>
      <c r="G504" s="51" t="s"/>
      <c r="H504" s="25" t="s">
        <v>13</v>
      </c>
      <c r="I504" s="25" t="s">
        <f>=IFERROR(_xlfn.XLOOKUP(H504,$N$2:$N$8,$M$2:$M$8,H504,0),H504)</f>
        <v>12</v>
      </c>
      <c r="J504" s="83">
        <v>0</v>
      </c>
      <c r="K504" s="84">
        <v>0</v>
      </c>
      <c r="L504" t="b">
        <f>=E504=H504</f>
        <v>1</v>
      </c>
    </row>
    <row r="505" spans="1:12">
      <c r="A505" s="76" t="s"/>
      <c r="B505" s="22" t="s">
        <v>24</v>
      </c>
      <c r="C505" s="9" t="s">
        <v>16</v>
      </c>
      <c r="D505" s="98" t="s"/>
      <c r="E505" s="51" t="s">
        <v>17</v>
      </c>
      <c r="F505" s="51" t="s"/>
      <c r="G505" s="51" t="s"/>
      <c r="H505" s="25" t="s">
        <v>17</v>
      </c>
      <c r="I505" s="25" t="s">
        <f>=IFERROR(_xlfn.XLOOKUP(H505,$N$2:$N$8,$M$2:$M$8,H505,0),H505)</f>
        <v>16</v>
      </c>
      <c r="J505" s="83">
        <v>1</v>
      </c>
      <c r="K505" s="84">
        <v>0</v>
      </c>
      <c r="L505" t="b">
        <f>=E505=H505</f>
        <v>1</v>
      </c>
    </row>
    <row r="506" spans="1:12">
      <c r="A506" s="76" t="s"/>
      <c r="B506" s="22" t="s">
        <v>24</v>
      </c>
      <c r="C506" s="9" t="s">
        <v>18</v>
      </c>
      <c r="D506" s="98" t="s"/>
      <c r="E506" s="51" t="s">
        <v>19</v>
      </c>
      <c r="F506" s="51" t="s"/>
      <c r="G506" s="51" t="s"/>
      <c r="H506" s="25" t="s">
        <v>19</v>
      </c>
      <c r="I506" s="25" t="s">
        <f>=IFERROR(_xlfn.XLOOKUP(H506,$N$2:$N$8,$M$2:$M$8,H506,0),H506)</f>
        <v>18</v>
      </c>
      <c r="J506" s="83">
        <v>0</v>
      </c>
      <c r="K506" s="84">
        <v>0</v>
      </c>
      <c r="L506" t="b">
        <f>=E506=H506</f>
        <v>1</v>
      </c>
    </row>
    <row r="507" spans="1:12">
      <c r="A507" s="80" t="s"/>
      <c r="B507" s="22" t="s">
        <v>24</v>
      </c>
      <c r="C507" s="9" t="s">
        <v>20</v>
      </c>
      <c r="D507" s="98" t="s"/>
      <c r="E507" s="51" t="s">
        <v>19</v>
      </c>
      <c r="F507" s="51" t="s"/>
      <c r="G507" s="51" t="s"/>
      <c r="H507" s="25" t="s">
        <v>19</v>
      </c>
      <c r="I507" s="25" t="s">
        <f>=IFERROR(_xlfn.XLOOKUP(H507,$N$2:$N$8,$M$2:$M$8,H507,0),H507)</f>
        <v>18</v>
      </c>
      <c r="J507" s="81">
        <v>0</v>
      </c>
      <c r="K507" s="82">
        <v>0</v>
      </c>
      <c r="L507" t="b">
        <f>=E507=H507</f>
        <v>1</v>
      </c>
    </row>
    <row r="508" spans="1:12">
      <c r="A508" s="80" t="s"/>
      <c r="B508" s="22" t="s">
        <v>24</v>
      </c>
      <c r="C508" s="9" t="s">
        <v>22</v>
      </c>
      <c r="D508" s="98" t="s"/>
      <c r="E508" s="51" t="s">
        <v>13</v>
      </c>
      <c r="F508" s="51" t="s"/>
      <c r="G508" s="51" t="s"/>
      <c r="H508" s="25" t="s">
        <v>13</v>
      </c>
      <c r="I508" s="25" t="s">
        <f>=IFERROR(_xlfn.XLOOKUP(H508,$N$2:$N$8,$M$2:$M$8,H508,0),H508)</f>
        <v>12</v>
      </c>
      <c r="J508" s="81">
        <v>0</v>
      </c>
      <c r="K508" s="82">
        <v>0</v>
      </c>
      <c r="L508" t="b">
        <f>=E508=H508</f>
        <v>1</v>
      </c>
    </row>
    <row r="509" spans="1:12">
      <c r="A509" s="80" t="s"/>
      <c r="B509" s="6" t="s">
        <v>24</v>
      </c>
      <c r="C509" s="104" t="s">
        <v>24</v>
      </c>
      <c r="D509" s="101" t="s"/>
      <c r="E509" s="102" t="s">
        <v>17</v>
      </c>
      <c r="F509" s="102" t="s"/>
      <c r="G509" s="102" t="s"/>
      <c r="H509" s="34" t="s">
        <v>17</v>
      </c>
      <c r="I509" s="103" t="s">
        <f>=IFERROR(_xlfn.XLOOKUP(H509,$N$2:$N$8,$M$2:$M$8,H509,0),H509)</f>
        <v>16</v>
      </c>
      <c r="J509" s="88">
        <v>1</v>
      </c>
      <c r="K509" s="89">
        <v>0</v>
      </c>
      <c r="L509" t="b">
        <f>=E509=H509</f>
        <v>1</v>
      </c>
    </row>
    <row r="510" spans="1:11">
      <c r="A510" s="93" t="s"/>
      <c r="B510" s="93" t="s"/>
      <c r="C510" s="95" t="s"/>
      <c r="D510" s="93" t="s"/>
      <c r="E510" s="94" t="s"/>
      <c r="F510" s="94" t="s"/>
      <c r="G510" s="93" t="s"/>
      <c r="H510" s="95" t="s"/>
      <c r="I510" s="95" t="s"/>
      <c r="J510" s="96" t="s">
        <v>43</v>
      </c>
      <c r="K510" s="105" t="s"/>
    </row>
    <row r="511" spans="1:12">
      <c r="A511" s="76" t="s">
        <v>44</v>
      </c>
      <c r="B511" s="13" t="s">
        <v>12</v>
      </c>
      <c r="C511" s="106" t="s"/>
      <c r="D511" s="98" t="s"/>
      <c r="E511" s="51" t="s">
        <v>45</v>
      </c>
      <c r="F511" s="5" t="s"/>
      <c r="G511" s="5" t="s"/>
      <c r="H511" s="8" t="s">
        <v>45</v>
      </c>
      <c r="J511" s="78" t="s"/>
      <c r="K511" s="107" t="s"/>
      <c r="L511" t="b">
        <f>=E511=H511</f>
        <v>1</v>
      </c>
    </row>
    <row r="512" spans="1:12">
      <c r="A512" s="80" t="s"/>
      <c r="B512" s="9" t="s">
        <v>14</v>
      </c>
      <c r="C512" s="106" t="s"/>
      <c r="D512" s="98" t="s"/>
      <c r="E512" s="51" t="s">
        <v>45</v>
      </c>
      <c r="F512" s="5" t="s"/>
      <c r="G512" s="5" t="s"/>
      <c r="H512" s="8" t="s">
        <v>45</v>
      </c>
      <c r="J512" s="81" t="s"/>
      <c r="K512" s="108" t="s"/>
      <c r="L512" t="b">
        <f>=E512=H512</f>
        <v>1</v>
      </c>
    </row>
    <row r="513" spans="1:12">
      <c r="A513" s="80" t="s"/>
      <c r="B513" s="9" t="s">
        <v>16</v>
      </c>
      <c r="C513" s="106" t="s"/>
      <c r="D513" s="98" t="s"/>
      <c r="E513" s="51" t="s">
        <v>46</v>
      </c>
      <c r="F513" s="5" t="s"/>
      <c r="G513" s="5" t="s"/>
      <c r="H513" s="8" t="s">
        <v>46</v>
      </c>
      <c r="J513" s="81" t="s"/>
      <c r="K513" s="108" t="s"/>
      <c r="L513" t="b">
        <f>=E513=H513</f>
        <v>1</v>
      </c>
    </row>
    <row r="514" spans="1:12">
      <c r="A514" s="80" t="s"/>
      <c r="B514" s="9" t="s">
        <v>18</v>
      </c>
      <c r="C514" s="106" t="s"/>
      <c r="D514" s="98" t="s"/>
      <c r="E514" s="51" t="s">
        <v>47</v>
      </c>
      <c r="F514" s="5" t="s"/>
      <c r="G514" s="5" t="s"/>
      <c r="H514" s="8" t="s">
        <v>47</v>
      </c>
      <c r="J514" s="81" t="s"/>
      <c r="K514" s="108" t="s"/>
      <c r="L514" t="b">
        <f>=E514=H514</f>
        <v>1</v>
      </c>
    </row>
    <row r="515" spans="1:12">
      <c r="A515" s="76" t="s"/>
      <c r="B515" s="9" t="s">
        <v>20</v>
      </c>
      <c r="C515" s="106" t="s"/>
      <c r="D515" s="98" t="s"/>
      <c r="E515" s="51" t="s">
        <v>47</v>
      </c>
      <c r="F515" s="5" t="s"/>
      <c r="G515" s="5" t="s"/>
      <c r="H515" s="8" t="s">
        <v>47</v>
      </c>
      <c r="J515" s="83" t="s"/>
      <c r="K515" s="109" t="s"/>
      <c r="L515" t="b">
        <f>=E515=H515</f>
        <v>1</v>
      </c>
    </row>
    <row r="516" spans="1:12">
      <c r="A516" s="80" t="s"/>
      <c r="B516" s="9" t="s">
        <v>22</v>
      </c>
      <c r="C516" s="106" t="s"/>
      <c r="D516" s="98" t="s"/>
      <c r="E516" s="51" t="s">
        <v>45</v>
      </c>
      <c r="F516" s="5" t="s"/>
      <c r="G516" s="5" t="s"/>
      <c r="H516" s="8" t="s">
        <v>45</v>
      </c>
      <c r="J516" s="81" t="s"/>
      <c r="K516" s="108" t="s"/>
      <c r="L516" t="b">
        <f>=E516=H516</f>
        <v>1</v>
      </c>
    </row>
    <row r="517" spans="1:12">
      <c r="A517" s="80" t="s"/>
      <c r="B517" s="9" t="s">
        <v>24</v>
      </c>
      <c r="C517" s="110" t="s"/>
      <c r="D517" s="101" t="s"/>
      <c r="E517" s="102" t="s">
        <v>46</v>
      </c>
      <c r="F517" s="6" t="s"/>
      <c r="G517" s="6" t="s"/>
      <c r="H517" s="34" t="s">
        <v>46</v>
      </c>
      <c r="I517" s="34" t="s"/>
      <c r="J517" s="88" t="s"/>
      <c r="K517" s="111" t="s"/>
      <c r="L517" t="b">
        <f>=E517=H517</f>
        <v>1</v>
      </c>
    </row>
    <row r="518" spans="1:11">
      <c r="A518" s="93" t="s"/>
      <c r="B518" s="93" t="s"/>
      <c r="C518" s="95" t="s"/>
      <c r="D518" s="93" t="s"/>
      <c r="E518" s="94" t="s"/>
      <c r="F518" s="94" t="s"/>
      <c r="G518" s="93" t="s"/>
      <c r="H518" s="95" t="s"/>
      <c r="I518" s="95" t="s"/>
      <c r="J518" s="96" t="s">
        <v>43</v>
      </c>
      <c r="K518" s="105" t="s"/>
    </row>
    <row r="519" spans="1:12">
      <c r="A519" s="76" t="s">
        <v>48</v>
      </c>
      <c r="B519" s="13" t="s">
        <v>12</v>
      </c>
      <c r="C519" s="106" t="s"/>
      <c r="D519" s="98" t="s"/>
      <c r="E519" s="51" t="s">
        <v>45</v>
      </c>
      <c r="F519" s="5" t="s"/>
      <c r="G519" s="5" t="s"/>
      <c r="H519" s="25" t="s">
        <v>45</v>
      </c>
      <c r="I519" s="25" t="s"/>
      <c r="J519" s="78" t="s"/>
      <c r="K519" s="107" t="s"/>
      <c r="L519" t="b">
        <f>=E519=H519</f>
        <v>1</v>
      </c>
    </row>
    <row r="520" spans="1:12">
      <c r="A520" s="80" t="s"/>
      <c r="B520" s="9" t="s">
        <v>14</v>
      </c>
      <c r="C520" s="106" t="s"/>
      <c r="D520" s="98" t="s"/>
      <c r="E520" s="51" t="s">
        <v>45</v>
      </c>
      <c r="F520" s="5" t="s"/>
      <c r="G520" s="5" t="s"/>
      <c r="H520" s="25" t="s">
        <v>45</v>
      </c>
      <c r="I520" s="25" t="s"/>
      <c r="J520" s="81" t="s"/>
      <c r="K520" s="108" t="s"/>
      <c r="L520" t="b">
        <f>=E520=H520</f>
        <v>1</v>
      </c>
    </row>
    <row r="521" spans="1:12">
      <c r="A521" s="80" t="s"/>
      <c r="B521" s="9" t="s">
        <v>16</v>
      </c>
      <c r="C521" s="106" t="s"/>
      <c r="D521" s="98" t="s"/>
      <c r="E521" s="51" t="s">
        <v>49</v>
      </c>
      <c r="F521" s="5" t="s"/>
      <c r="G521" s="5" t="s"/>
      <c r="H521" s="25" t="s">
        <v>49</v>
      </c>
      <c r="I521" s="25" t="s"/>
      <c r="J521" s="81" t="s"/>
      <c r="K521" s="108" t="s"/>
      <c r="L521" t="b">
        <f>=E521=H521</f>
        <v>1</v>
      </c>
    </row>
    <row r="522" spans="1:12">
      <c r="A522" s="76" t="s"/>
      <c r="B522" s="9" t="s">
        <v>18</v>
      </c>
      <c r="C522" s="106" t="s"/>
      <c r="D522" s="98" t="s"/>
      <c r="E522" s="51" t="s">
        <v>45</v>
      </c>
      <c r="F522" s="5" t="s"/>
      <c r="G522" s="5" t="s"/>
      <c r="H522" s="25" t="s">
        <v>45</v>
      </c>
      <c r="I522" s="25" t="s"/>
      <c r="J522" s="83" t="s"/>
      <c r="K522" s="109" t="s"/>
      <c r="L522" t="b">
        <f>=E522=H522</f>
        <v>1</v>
      </c>
    </row>
    <row r="523" spans="1:12">
      <c r="A523" s="80" t="s"/>
      <c r="B523" s="9" t="s">
        <v>20</v>
      </c>
      <c r="C523" s="106" t="s"/>
      <c r="D523" s="98" t="s"/>
      <c r="E523" s="51" t="s">
        <v>45</v>
      </c>
      <c r="F523" s="5" t="s"/>
      <c r="G523" s="5" t="s"/>
      <c r="H523" s="25" t="s">
        <v>45</v>
      </c>
      <c r="I523" s="25" t="s"/>
      <c r="J523" s="81" t="s"/>
      <c r="K523" s="108" t="s"/>
      <c r="L523" t="b">
        <f>=E523=H523</f>
        <v>1</v>
      </c>
    </row>
    <row r="524" spans="1:12">
      <c r="A524" s="80" t="s"/>
      <c r="B524" s="9" t="s">
        <v>22</v>
      </c>
      <c r="C524" s="106" t="s"/>
      <c r="D524" s="98" t="s"/>
      <c r="E524" s="51" t="s">
        <v>45</v>
      </c>
      <c r="F524" s="5" t="s"/>
      <c r="G524" s="5" t="s"/>
      <c r="H524" s="25" t="s">
        <v>45</v>
      </c>
      <c r="I524" s="25" t="s"/>
      <c r="J524" s="81" t="s"/>
      <c r="K524" s="108" t="s"/>
      <c r="L524" t="b">
        <f>=E524=H524</f>
        <v>1</v>
      </c>
    </row>
    <row r="525" spans="1:12">
      <c r="A525" s="80" t="s"/>
      <c r="B525" s="9" t="s">
        <v>24</v>
      </c>
      <c r="C525" s="110" t="s"/>
      <c r="D525" s="101" t="s"/>
      <c r="E525" s="102" t="s">
        <v>49</v>
      </c>
      <c r="F525" s="6" t="s"/>
      <c r="G525" s="6" t="s"/>
      <c r="H525" s="34" t="s">
        <v>49</v>
      </c>
      <c r="I525" s="34" t="s"/>
      <c r="J525" s="88" t="s"/>
      <c r="K525" s="111" t="s"/>
      <c r="L525" t="b">
        <f>=E525=H525</f>
        <v>1</v>
      </c>
    </row>
    <row r="526" spans="1:11">
      <c r="A526" s="93" t="s"/>
      <c r="B526" s="93" t="s"/>
      <c r="C526" s="95" t="s"/>
      <c r="D526" s="93" t="s"/>
      <c r="E526" s="94" t="s"/>
      <c r="F526" s="94" t="s"/>
      <c r="G526" s="93" t="s"/>
      <c r="H526" s="95" t="s"/>
      <c r="I526" s="95" t="s"/>
      <c r="J526" s="96" t="s">
        <v>43</v>
      </c>
      <c r="K526" s="105" t="s"/>
    </row>
    <row r="527" spans="1:12">
      <c r="A527" s="76" t="s">
        <v>50</v>
      </c>
      <c r="B527" s="13" t="s">
        <v>12</v>
      </c>
      <c r="C527" s="106" t="s"/>
      <c r="D527" s="98" t="s"/>
      <c r="E527" s="51" t="s">
        <v>45</v>
      </c>
      <c r="F527" s="5" t="s"/>
      <c r="G527" s="5" t="s"/>
      <c r="H527" s="25" t="s">
        <v>45</v>
      </c>
      <c r="I527" s="32" t="s">
        <v>12</v>
      </c>
      <c r="J527" s="78" t="s"/>
      <c r="K527" s="107" t="s"/>
      <c r="L527" t="b">
        <f>=E527=H527</f>
        <v>1</v>
      </c>
    </row>
    <row r="528" spans="1:12">
      <c r="A528" s="80" t="s"/>
      <c r="B528" s="9" t="s">
        <v>14</v>
      </c>
      <c r="C528" s="106" t="s"/>
      <c r="D528" s="98" t="s"/>
      <c r="E528" s="51" t="s">
        <v>45</v>
      </c>
      <c r="F528" s="5" t="s"/>
      <c r="G528" s="5" t="s"/>
      <c r="H528" s="25" t="s">
        <v>45</v>
      </c>
      <c r="I528" s="32" t="s">
        <v>12</v>
      </c>
      <c r="J528" s="81" t="s"/>
      <c r="K528" s="108" t="s"/>
      <c r="L528" t="b">
        <f>=E528=H528</f>
        <v>1</v>
      </c>
    </row>
    <row r="529" spans="1:12">
      <c r="A529" s="80" t="s"/>
      <c r="B529" s="9" t="s">
        <v>16</v>
      </c>
      <c r="C529" s="106" t="s"/>
      <c r="D529" s="98" t="s"/>
      <c r="E529" s="51" t="s">
        <v>51</v>
      </c>
      <c r="F529" s="5" t="s"/>
      <c r="G529" s="5" t="s"/>
      <c r="H529" s="25" t="s">
        <v>51</v>
      </c>
      <c r="I529" s="32" t="s">
        <v>16</v>
      </c>
      <c r="J529" s="81" t="s"/>
      <c r="K529" s="108" t="s"/>
      <c r="L529" t="b">
        <f>=E529=H529</f>
        <v>1</v>
      </c>
    </row>
    <row r="530" spans="1:12">
      <c r="A530" s="76" t="s"/>
      <c r="B530" s="9" t="s">
        <v>18</v>
      </c>
      <c r="C530" s="106" t="s"/>
      <c r="D530" s="98" t="s"/>
      <c r="E530" s="51" t="s">
        <v>52</v>
      </c>
      <c r="F530" s="5" t="s"/>
      <c r="G530" s="5" t="s"/>
      <c r="H530" s="25" t="s">
        <v>52</v>
      </c>
      <c r="I530" s="32" t="s">
        <v>18</v>
      </c>
      <c r="J530" s="83" t="s"/>
      <c r="K530" s="109" t="s"/>
      <c r="L530" t="b">
        <f>=E530=H530</f>
        <v>1</v>
      </c>
    </row>
    <row r="531" spans="1:12">
      <c r="A531" s="80" t="s"/>
      <c r="B531" s="9" t="s">
        <v>20</v>
      </c>
      <c r="C531" s="106" t="s"/>
      <c r="D531" s="98" t="s"/>
      <c r="E531" s="51" t="s">
        <v>52</v>
      </c>
      <c r="F531" s="5" t="s"/>
      <c r="G531" s="5" t="s"/>
      <c r="H531" s="25" t="s">
        <v>52</v>
      </c>
      <c r="I531" s="32" t="s">
        <v>18</v>
      </c>
      <c r="J531" s="81" t="s"/>
      <c r="K531" s="108" t="s"/>
      <c r="L531" t="b">
        <f>=E531=H531</f>
        <v>1</v>
      </c>
    </row>
    <row r="532" spans="1:12">
      <c r="A532" s="80" t="s"/>
      <c r="B532" s="9" t="s">
        <v>22</v>
      </c>
      <c r="C532" s="106" t="s"/>
      <c r="D532" s="98" t="s"/>
      <c r="E532" s="51" t="s">
        <v>45</v>
      </c>
      <c r="F532" s="5" t="s"/>
      <c r="G532" s="5" t="s"/>
      <c r="H532" s="25" t="s">
        <v>45</v>
      </c>
      <c r="I532" s="32" t="s">
        <v>12</v>
      </c>
      <c r="J532" s="81" t="s"/>
      <c r="K532" s="108" t="s"/>
      <c r="L532" t="b">
        <f>=E532=H532</f>
        <v>1</v>
      </c>
    </row>
    <row r="533" spans="1:12">
      <c r="A533" s="80" t="s"/>
      <c r="B533" s="9" t="s">
        <v>24</v>
      </c>
      <c r="C533" s="110" t="s"/>
      <c r="D533" s="101" t="s"/>
      <c r="E533" s="102" t="s">
        <v>51</v>
      </c>
      <c r="F533" s="6" t="s"/>
      <c r="G533" s="6" t="s"/>
      <c r="H533" s="34" t="s">
        <v>51</v>
      </c>
      <c r="I533" s="35" t="s">
        <v>16</v>
      </c>
      <c r="J533" s="88" t="s"/>
      <c r="K533" s="111" t="s"/>
      <c r="L533" t="b">
        <f>=E533=H533</f>
        <v>1</v>
      </c>
    </row>
    <row r="534" spans="1:11">
      <c r="A534" s="93" t="s"/>
      <c r="B534" s="93" t="s"/>
      <c r="C534" s="95" t="s"/>
      <c r="D534" s="93" t="s"/>
      <c r="E534" s="94" t="s"/>
      <c r="F534" s="94" t="s"/>
      <c r="G534" s="93" t="s"/>
      <c r="H534" s="95" t="s"/>
      <c r="I534" s="95" t="s"/>
      <c r="J534" s="96" t="s">
        <v>29</v>
      </c>
      <c r="K534" s="97" t="s">
        <v>30</v>
      </c>
    </row>
    <row r="535" spans="1:14">
      <c r="A535" s="76" t="s">
        <v>53</v>
      </c>
      <c r="B535" s="13" t="s">
        <v>12</v>
      </c>
      <c r="C535" s="106" t="s"/>
      <c r="D535" s="98" t="s"/>
      <c r="E535" s="51" t="s">
        <v>13</v>
      </c>
      <c r="F535" s="5" t="s"/>
      <c r="G535" s="5" t="s"/>
      <c r="H535" s="25" t="s">
        <v>13</v>
      </c>
      <c r="I535" s="25" t="s">
        <f>=IFERROR(_xlfn.XLOOKUP(H535,$N$2:$N$8,$M$2:$M$8,H535,0),H535)</f>
        <v>12</v>
      </c>
      <c r="J535" s="78">
        <v>1</v>
      </c>
      <c r="K535" s="79">
        <v>0</v>
      </c>
      <c r="L535" t="b">
        <f>=E535=H535</f>
        <v>1</v>
      </c>
      <c r="M535" t="s">
        <v>12</v>
      </c>
      <c r="N535" t="s">
        <v>45</v>
      </c>
    </row>
    <row r="536" spans="1:14">
      <c r="A536" s="80" t="s"/>
      <c r="B536" s="9" t="s">
        <v>14</v>
      </c>
      <c r="C536" s="106" t="s"/>
      <c r="D536" s="98" t="s"/>
      <c r="E536" s="51" t="s">
        <v>13</v>
      </c>
      <c r="F536" s="5" t="s"/>
      <c r="G536" s="5" t="s"/>
      <c r="H536" s="25" t="s">
        <v>13</v>
      </c>
      <c r="I536" s="25" t="s">
        <f>=IFERROR(_xlfn.XLOOKUP(H536,$N$2:$N$8,$M$2:$M$8,H536,0),H536)</f>
        <v>12</v>
      </c>
      <c r="J536" s="81">
        <v>1</v>
      </c>
      <c r="K536" s="82">
        <v>0</v>
      </c>
      <c r="L536" t="b">
        <f>=E536=H536</f>
        <v>1</v>
      </c>
      <c r="M536" t="s">
        <v>14</v>
      </c>
      <c r="N536" t="s">
        <v>47</v>
      </c>
    </row>
    <row r="537" spans="1:14">
      <c r="A537" s="80" t="s"/>
      <c r="B537" s="9" t="s">
        <v>16</v>
      </c>
      <c r="C537" s="106" t="s"/>
      <c r="D537" s="98" t="s"/>
      <c r="E537" s="51" t="s">
        <v>17</v>
      </c>
      <c r="F537" s="5" t="s"/>
      <c r="G537" s="5" t="s"/>
      <c r="H537" s="25" t="s">
        <v>17</v>
      </c>
      <c r="I537" s="25" t="s">
        <f>=IFERROR(_xlfn.XLOOKUP(H537,$N$2:$N$8,$M$2:$M$8,H537,0),H537)</f>
        <v>16</v>
      </c>
      <c r="J537" s="81">
        <v>0</v>
      </c>
      <c r="K537" s="82">
        <v>0</v>
      </c>
      <c r="L537" t="b">
        <f>=E537=H537</f>
        <v>1</v>
      </c>
      <c r="M537" t="s">
        <v>16</v>
      </c>
      <c r="N537" t="s">
        <v>51</v>
      </c>
    </row>
    <row r="538" spans="1:14">
      <c r="A538" s="76" t="s"/>
      <c r="B538" s="9" t="s">
        <v>18</v>
      </c>
      <c r="C538" s="106" t="s"/>
      <c r="D538" s="98" t="s"/>
      <c r="E538" s="51" t="s">
        <v>19</v>
      </c>
      <c r="F538" s="5" t="s"/>
      <c r="G538" s="5" t="s"/>
      <c r="H538" s="25" t="s">
        <v>19</v>
      </c>
      <c r="I538" s="25" t="s">
        <f>=IFERROR(_xlfn.XLOOKUP(H538,$N$2:$N$8,$M$2:$M$8,H538,0),H538)</f>
        <v>18</v>
      </c>
      <c r="J538" s="83">
        <v>0</v>
      </c>
      <c r="K538" s="84">
        <v>1</v>
      </c>
      <c r="L538" t="b">
        <f>=E538=H538</f>
        <v>1</v>
      </c>
      <c r="M538" t="s">
        <v>18</v>
      </c>
      <c r="N538" t="s">
        <v>52</v>
      </c>
    </row>
    <row r="539" spans="1:14">
      <c r="A539" s="80" t="s"/>
      <c r="B539" s="9" t="s">
        <v>20</v>
      </c>
      <c r="C539" s="106" t="s"/>
      <c r="D539" s="98" t="s"/>
      <c r="E539" s="51" t="s">
        <v>19</v>
      </c>
      <c r="F539" s="5" t="s"/>
      <c r="G539" s="5" t="s"/>
      <c r="H539" s="25" t="s">
        <v>19</v>
      </c>
      <c r="I539" s="25" t="s">
        <f>=IFERROR(_xlfn.XLOOKUP(H539,$N$2:$N$8,$M$2:$M$8,H539,0),H539)</f>
        <v>18</v>
      </c>
      <c r="J539" s="81">
        <v>0</v>
      </c>
      <c r="K539" s="82">
        <v>1</v>
      </c>
      <c r="L539" t="b">
        <f>=E539=H539</f>
        <v>1</v>
      </c>
      <c r="M539" t="s">
        <v>20</v>
      </c>
      <c r="N539" t="s">
        <v>54</v>
      </c>
    </row>
    <row r="540" spans="1:14">
      <c r="A540" s="80" t="s"/>
      <c r="B540" s="9" t="s">
        <v>22</v>
      </c>
      <c r="C540" s="106" t="s"/>
      <c r="D540" s="98" t="s"/>
      <c r="E540" s="51" t="s">
        <v>13</v>
      </c>
      <c r="F540" s="5" t="s"/>
      <c r="G540" s="5" t="s"/>
      <c r="H540" s="25" t="s">
        <v>13</v>
      </c>
      <c r="I540" s="25" t="s">
        <f>=IFERROR(_xlfn.XLOOKUP(H540,$N$2:$N$8,$M$2:$M$8,H540,0),H540)</f>
        <v>12</v>
      </c>
      <c r="J540" s="81">
        <v>1</v>
      </c>
      <c r="K540" s="82">
        <v>0</v>
      </c>
      <c r="L540" t="b">
        <f>=E540=H540</f>
        <v>1</v>
      </c>
      <c r="M540" t="s">
        <v>22</v>
      </c>
      <c r="N540" t="s">
        <v>55</v>
      </c>
    </row>
    <row r="541" spans="1:14">
      <c r="A541" s="80" t="s"/>
      <c r="B541" s="104" t="s">
        <v>24</v>
      </c>
      <c r="C541" s="110" t="s"/>
      <c r="D541" s="101" t="s"/>
      <c r="E541" s="102" t="s">
        <v>17</v>
      </c>
      <c r="F541" s="6" t="s"/>
      <c r="G541" s="6" t="s"/>
      <c r="H541" s="34" t="s">
        <v>17</v>
      </c>
      <c r="I541" s="34" t="s">
        <f>=IFERROR(_xlfn.XLOOKUP(H541,$N$2:$N$8,$M$2:$M$8,H541,0),H541)</f>
        <v>16</v>
      </c>
      <c r="J541" s="88">
        <v>0</v>
      </c>
      <c r="K541" s="89">
        <v>0</v>
      </c>
      <c r="L541" t="b">
        <f>=E541=H541</f>
        <v>1</v>
      </c>
      <c r="M541" t="s">
        <v>24</v>
      </c>
      <c r="N541" t="s">
        <v>56</v>
      </c>
    </row>
    <row r="542" spans="1:11">
      <c r="A542" s="98" t="s"/>
      <c r="B542" s="9" t="s"/>
      <c r="C542" s="106" t="s"/>
      <c r="D542" s="98" t="s"/>
      <c r="E542" s="5" t="s"/>
      <c r="F542" s="5" t="s"/>
      <c r="G542" s="5" t="s"/>
      <c r="H542" s="8" t="s"/>
      <c r="I542" s="8" t="s"/>
      <c r="J542" s="7" t="s"/>
      <c r="K542" s="8" t="s"/>
    </row>
  </sheetData>
  <mergeCells count="21">
    <mergeCell ref="A51:A57"/>
    <mergeCell ref="A2:A50"/>
    <mergeCell ref="A58:A106"/>
    <mergeCell ref="A107:A155"/>
    <mergeCell ref="A157:A163"/>
    <mergeCell ref="A165:A213"/>
    <mergeCell ref="A214:A262"/>
    <mergeCell ref="A263:A311"/>
    <mergeCell ref="A312:A360"/>
    <mergeCell ref="A361:A409"/>
    <mergeCell ref="A411:A459"/>
    <mergeCell ref="A461:A509"/>
    <mergeCell ref="A511:A517"/>
    <mergeCell ref="A519:A525"/>
    <mergeCell ref="A527:A533"/>
    <mergeCell ref="A535:A541"/>
    <mergeCell ref="J510:K510"/>
    <mergeCell ref="J518:K518"/>
    <mergeCell ref="J526:K526"/>
    <mergeCell ref="A164:C164"/>
    <mergeCell ref="A410:C410"/>
  </mergeCells>
  <conditionalFormatting sqref="L2:L541">
    <cfRule type="expression" dxfId="0" priority="1">
      <formula>=L2=FALSE</formula>
    </cfRule>
  </conditionalFormatting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2026-05-25T20:38:53Z</dcterms:created>
  <dcterms:modified xsi:type="dcterms:W3CDTF">2026-05-25T20:38:53Z</dcterms:modified>
</cp:coreProperties>
</file>